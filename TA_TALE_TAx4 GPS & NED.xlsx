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x4 GPS NED (Kido)" sheetId="1" r:id="rId5"/>
    <sheet state="visible" name="enu_okuda" sheetId="2" r:id="rId6"/>
    <sheet state="visible" name="enu_ned" sheetId="3" r:id="rId7"/>
    <sheet state="visible" name="TA_AllSites_20220124" sheetId="4" r:id="rId8"/>
    <sheet state="visible" name="Sheet3" sheetId="5" r:id="rId9"/>
  </sheets>
  <definedNames/>
  <calcPr/>
</workbook>
</file>

<file path=xl/sharedStrings.xml><?xml version="1.0" encoding="utf-8"?>
<sst xmlns="http://schemas.openxmlformats.org/spreadsheetml/2006/main" count="2309" uniqueCount="1446">
  <si>
    <t>From GPS (Kido, Okuda)</t>
  </si>
  <si>
    <t>CLF coords (Kido, Okuda)</t>
  </si>
  <si>
    <t>CLF coords (NED)</t>
  </si>
  <si>
    <t>From USGS NED (NED)</t>
  </si>
  <si>
    <t>Difference</t>
  </si>
  <si>
    <t>ARRAY</t>
  </si>
  <si>
    <t>site</t>
  </si>
  <si>
    <t>lat</t>
  </si>
  <si>
    <t>lon</t>
  </si>
  <si>
    <t>h0</t>
  </si>
  <si>
    <t>east (m)</t>
  </si>
  <si>
    <t>north (m)</t>
  </si>
  <si>
    <t>up (m)</t>
  </si>
  <si>
    <t>ned</t>
  </si>
  <si>
    <t>ortho</t>
  </si>
  <si>
    <t>SD h</t>
  </si>
  <si>
    <t>h'</t>
  </si>
  <si>
    <t>h-h'</t>
  </si>
  <si>
    <t>Z</t>
  </si>
  <si>
    <t>|Z|&gt;3</t>
  </si>
  <si>
    <t>h_pred</t>
  </si>
  <si>
    <t>delta</t>
  </si>
  <si>
    <t>TA</t>
  </si>
  <si>
    <t>Stats</t>
  </si>
  <si>
    <t>Q1</t>
  </si>
  <si>
    <t>Q2</t>
  </si>
  <si>
    <t>Q3</t>
  </si>
  <si>
    <t>IQR</t>
  </si>
  <si>
    <t>iqrSD</t>
  </si>
  <si>
    <t>mean</t>
  </si>
  <si>
    <t>SD</t>
  </si>
  <si>
    <t>TALE</t>
  </si>
  <si>
    <t>JAM OPUS Survey values SD1110</t>
  </si>
  <si>
    <t>TAx4</t>
  </si>
  <si>
    <t>JAM OPUS Survey values SD5606</t>
  </si>
  <si>
    <t>Latitude</t>
  </si>
  <si>
    <t>Longitude</t>
  </si>
  <si>
    <t>Name</t>
  </si>
  <si>
    <t>SN6903</t>
  </si>
  <si>
    <t>BLM</t>
  </si>
  <si>
    <t>CLF</t>
  </si>
  <si>
    <t>SN6910</t>
  </si>
  <si>
    <t>fast_a</t>
  </si>
  <si>
    <t>KM7304</t>
  </si>
  <si>
    <t>SITLA</t>
  </si>
  <si>
    <t>ft</t>
  </si>
  <si>
    <t>INTF</t>
  </si>
  <si>
    <t>KM7310</t>
  </si>
  <si>
    <t>slow_a</t>
  </si>
  <si>
    <t>SC4207</t>
  </si>
  <si>
    <t>slow_b</t>
  </si>
  <si>
    <t>SR4217</t>
  </si>
  <si>
    <t>slow_c</t>
  </si>
  <si>
    <t>BF4612</t>
  </si>
  <si>
    <t>ta_a</t>
  </si>
  <si>
    <t>BF4717</t>
  </si>
  <si>
    <t>ta_b</t>
  </si>
  <si>
    <t>ta_c</t>
  </si>
  <si>
    <t>ta_d</t>
  </si>
  <si>
    <t>ta_e</t>
  </si>
  <si>
    <t>ta_f</t>
  </si>
  <si>
    <t>ta_g</t>
  </si>
  <si>
    <t>ta_h</t>
  </si>
  <si>
    <t>ta_i</t>
  </si>
  <si>
    <t>ta_j</t>
  </si>
  <si>
    <t>ta_k</t>
  </si>
  <si>
    <t>TI9001x</t>
  </si>
  <si>
    <t>TI9001</t>
  </si>
  <si>
    <t>TI9003</t>
  </si>
  <si>
    <t>TI9203</t>
  </si>
  <si>
    <t>TI9205</t>
  </si>
  <si>
    <t>TI9005</t>
  </si>
  <si>
    <t>TI9006</t>
  </si>
  <si>
    <t>TI9106</t>
  </si>
  <si>
    <t>TI9107</t>
  </si>
  <si>
    <t>TI9007</t>
  </si>
  <si>
    <t>TI9008x</t>
  </si>
  <si>
    <t>TI9008</t>
  </si>
  <si>
    <t>TI9108</t>
  </si>
  <si>
    <t>TI9208</t>
  </si>
  <si>
    <t>TI9209</t>
  </si>
  <si>
    <t>TI9109</t>
  </si>
  <si>
    <t>TI9009</t>
  </si>
  <si>
    <t>TI9010</t>
  </si>
  <si>
    <t>TI9110</t>
  </si>
  <si>
    <t>TI9210</t>
  </si>
  <si>
    <t>TI9211</t>
  </si>
  <si>
    <t>TI9111</t>
  </si>
  <si>
    <t>TI9011</t>
  </si>
  <si>
    <t>TI9012</t>
  </si>
  <si>
    <t>TI9112</t>
  </si>
  <si>
    <t>TI9113</t>
  </si>
  <si>
    <t>TI9013</t>
  </si>
  <si>
    <t>TI9014</t>
  </si>
  <si>
    <t>TI9114</t>
  </si>
  <si>
    <t>TI9214</t>
  </si>
  <si>
    <t>TI9314</t>
  </si>
  <si>
    <t>TI9414</t>
  </si>
  <si>
    <t>TI9413</t>
  </si>
  <si>
    <t>TI9313</t>
  </si>
  <si>
    <t>TI9213</t>
  </si>
  <si>
    <t>TI9212</t>
  </si>
  <si>
    <t>TI9312</t>
  </si>
  <si>
    <t>TI9412</t>
  </si>
  <si>
    <t>TI9411</t>
  </si>
  <si>
    <t>TI9311x</t>
  </si>
  <si>
    <t>TI9311</t>
  </si>
  <si>
    <t>TI9310</t>
  </si>
  <si>
    <t>TI9410</t>
  </si>
  <si>
    <t>TI9409</t>
  </si>
  <si>
    <t>TI9309</t>
  </si>
  <si>
    <t>TI9308</t>
  </si>
  <si>
    <t>TI9408</t>
  </si>
  <si>
    <t>TI9407</t>
  </si>
  <si>
    <t>TI9307</t>
  </si>
  <si>
    <t>TI9207</t>
  </si>
  <si>
    <t>TI9206</t>
  </si>
  <si>
    <t>TI9306</t>
  </si>
  <si>
    <t>TI9406</t>
  </si>
  <si>
    <t>TI9405</t>
  </si>
  <si>
    <t>TI9403</t>
  </si>
  <si>
    <t>TI9401</t>
  </si>
  <si>
    <t>TI9201</t>
  </si>
  <si>
    <t>Edge of road</t>
  </si>
  <si>
    <t>Top of ridge</t>
  </si>
  <si>
    <t>SC3612</t>
  </si>
  <si>
    <t>SC3710</t>
  </si>
  <si>
    <t>SC3711</t>
  </si>
  <si>
    <t>SC3712</t>
  </si>
  <si>
    <t>SC3809</t>
  </si>
  <si>
    <t>SC3810</t>
  </si>
  <si>
    <t>SC3811</t>
  </si>
  <si>
    <t>SC3812</t>
  </si>
  <si>
    <t>SC3908</t>
  </si>
  <si>
    <t>SC3909</t>
  </si>
  <si>
    <t>SC3910</t>
  </si>
  <si>
    <t>SC3911</t>
  </si>
  <si>
    <t>SC3912</t>
  </si>
  <si>
    <t>SC4008</t>
  </si>
  <si>
    <t>SC4009</t>
  </si>
  <si>
    <t>SC4010</t>
  </si>
  <si>
    <t>SC4011</t>
  </si>
  <si>
    <t>SC4012</t>
  </si>
  <si>
    <t>SC4107</t>
  </si>
  <si>
    <t>SC4109</t>
  </si>
  <si>
    <t>SC4110</t>
  </si>
  <si>
    <t>SC4111</t>
  </si>
  <si>
    <t>SC4112</t>
  </si>
  <si>
    <t>SC4208</t>
  </si>
  <si>
    <t>SC4209</t>
  </si>
  <si>
    <t>SC4210</t>
  </si>
  <si>
    <t>SC4211</t>
  </si>
  <si>
    <t>SC4212</t>
  </si>
  <si>
    <t>SC4308</t>
  </si>
  <si>
    <t>SC4309</t>
  </si>
  <si>
    <t>SC4310</t>
  </si>
  <si>
    <t>SC4311</t>
  </si>
  <si>
    <t>SC4312</t>
  </si>
  <si>
    <t>SR3616</t>
  </si>
  <si>
    <t>SR3613</t>
  </si>
  <si>
    <t>SR3614</t>
  </si>
  <si>
    <t>SR3615</t>
  </si>
  <si>
    <t>SR3713</t>
  </si>
  <si>
    <t>SR3714</t>
  </si>
  <si>
    <t>SR3715</t>
  </si>
  <si>
    <t>SR3716</t>
  </si>
  <si>
    <t>SR3717</t>
  </si>
  <si>
    <t>SR3813</t>
  </si>
  <si>
    <t>SR3814</t>
  </si>
  <si>
    <t>SR3815</t>
  </si>
  <si>
    <t>SR3816</t>
  </si>
  <si>
    <t>SR3817</t>
  </si>
  <si>
    <t>SR3913</t>
  </si>
  <si>
    <t>SR3914</t>
  </si>
  <si>
    <t>SR3915</t>
  </si>
  <si>
    <t>SR3916</t>
  </si>
  <si>
    <t>SR3917</t>
  </si>
  <si>
    <t>SR3918</t>
  </si>
  <si>
    <t>SR4013</t>
  </si>
  <si>
    <t>SR4014</t>
  </si>
  <si>
    <t>SR4015</t>
  </si>
  <si>
    <t>SR4016</t>
  </si>
  <si>
    <t>SR4017</t>
  </si>
  <si>
    <t>SR4018</t>
  </si>
  <si>
    <t>SR4108</t>
  </si>
  <si>
    <t>SR4113</t>
  </si>
  <si>
    <t>SR4114</t>
  </si>
  <si>
    <t>SR4115</t>
  </si>
  <si>
    <t>SR4116</t>
  </si>
  <si>
    <t>SR4117</t>
  </si>
  <si>
    <t>SR4118</t>
  </si>
  <si>
    <t>SR4213</t>
  </si>
  <si>
    <t>SR4214</t>
  </si>
  <si>
    <t>SR4215</t>
  </si>
  <si>
    <t>SR4216</t>
  </si>
  <si>
    <t>SR4218</t>
  </si>
  <si>
    <t>SR4219</t>
  </si>
  <si>
    <t>SR4313</t>
  </si>
  <si>
    <t>SR4314</t>
  </si>
  <si>
    <t>SR4315</t>
  </si>
  <si>
    <t>SR4316</t>
  </si>
  <si>
    <t>SR4317</t>
  </si>
  <si>
    <t>SR4318</t>
  </si>
  <si>
    <t>SR4319</t>
  </si>
  <si>
    <t>KM7203</t>
  </si>
  <si>
    <t>KM7204</t>
  </si>
  <si>
    <t>KM7205</t>
  </si>
  <si>
    <t>KM7206</t>
  </si>
  <si>
    <t>KM7207</t>
  </si>
  <si>
    <t>KM7208</t>
  </si>
  <si>
    <t>KM7209</t>
  </si>
  <si>
    <t>KM7210</t>
  </si>
  <si>
    <t>KM7305</t>
  </si>
  <si>
    <t>KM7306</t>
  </si>
  <si>
    <t>KM7307</t>
  </si>
  <si>
    <t>KM7308</t>
  </si>
  <si>
    <t>KM7309</t>
  </si>
  <si>
    <t>KM7404</t>
  </si>
  <si>
    <t>KM7405</t>
  </si>
  <si>
    <t>KM7406</t>
  </si>
  <si>
    <t>KM7407</t>
  </si>
  <si>
    <t>KM7408</t>
  </si>
  <si>
    <t>KM7409</t>
  </si>
  <si>
    <t>KM7410</t>
  </si>
  <si>
    <t>KM7504</t>
  </si>
  <si>
    <t>KM7505</t>
  </si>
  <si>
    <t>KM7506</t>
  </si>
  <si>
    <t>KM7507</t>
  </si>
  <si>
    <t>KM7508</t>
  </si>
  <si>
    <t>KM7509</t>
  </si>
  <si>
    <t>KM7510</t>
  </si>
  <si>
    <t>KM7605</t>
  </si>
  <si>
    <t>KM7606</t>
  </si>
  <si>
    <t>KM7607</t>
  </si>
  <si>
    <t>KM7608</t>
  </si>
  <si>
    <t>KM7609</t>
  </si>
  <si>
    <t>KM7610</t>
  </si>
  <si>
    <t>KM7706</t>
  </si>
  <si>
    <t>KM7707</t>
  </si>
  <si>
    <t>KM7708</t>
  </si>
  <si>
    <t>KM7709</t>
  </si>
  <si>
    <t>KM7710</t>
  </si>
  <si>
    <t>KM7808</t>
  </si>
  <si>
    <t>KM7809</t>
  </si>
  <si>
    <t>DM6814</t>
  </si>
  <si>
    <t>DM6914</t>
  </si>
  <si>
    <t>DM7014</t>
  </si>
  <si>
    <t>DM7110</t>
  </si>
  <si>
    <t>DM7111</t>
  </si>
  <si>
    <t>DM7114</t>
  </si>
  <si>
    <t>DM7211</t>
  </si>
  <si>
    <t>DM7212</t>
  </si>
  <si>
    <t>DM7213</t>
  </si>
  <si>
    <t>DM7214</t>
  </si>
  <si>
    <t>DM7311</t>
  </si>
  <si>
    <t>DM7312</t>
  </si>
  <si>
    <t>DM7313</t>
  </si>
  <si>
    <t>DM7411</t>
  </si>
  <si>
    <t>DM7412</t>
  </si>
  <si>
    <t>DM7413</t>
  </si>
  <si>
    <t>DM7511</t>
  </si>
  <si>
    <t>DM7512</t>
  </si>
  <si>
    <t>DM7611</t>
  </si>
  <si>
    <t>SN6407</t>
  </si>
  <si>
    <t>SN6408</t>
  </si>
  <si>
    <t>SN6409</t>
  </si>
  <si>
    <t>SN6506</t>
  </si>
  <si>
    <t>SN6507</t>
  </si>
  <si>
    <t>SN6508</t>
  </si>
  <si>
    <t>SN6509</t>
  </si>
  <si>
    <t>SN6510</t>
  </si>
  <si>
    <t>SN6511</t>
  </si>
  <si>
    <t>SN6605</t>
  </si>
  <si>
    <t>SN6606</t>
  </si>
  <si>
    <t>SN6607</t>
  </si>
  <si>
    <t>SN6608</t>
  </si>
  <si>
    <t>SN6609</t>
  </si>
  <si>
    <t>SN6610</t>
  </si>
  <si>
    <t>SN6611</t>
  </si>
  <si>
    <t>SN6612</t>
  </si>
  <si>
    <t>SN6704</t>
  </si>
  <si>
    <t>SN6705</t>
  </si>
  <si>
    <t>SN6706</t>
  </si>
  <si>
    <t>SN6707</t>
  </si>
  <si>
    <t>SN6708</t>
  </si>
  <si>
    <t>SN6709</t>
  </si>
  <si>
    <t>SN6710</t>
  </si>
  <si>
    <t>SN6711</t>
  </si>
  <si>
    <t>SN6712</t>
  </si>
  <si>
    <t>SN6713</t>
  </si>
  <si>
    <t>SN6803</t>
  </si>
  <si>
    <t>SN6804</t>
  </si>
  <si>
    <t>SN6805</t>
  </si>
  <si>
    <t>SN6806</t>
  </si>
  <si>
    <t>SN6807</t>
  </si>
  <si>
    <t>SN6808</t>
  </si>
  <si>
    <t>SN6809</t>
  </si>
  <si>
    <t>SN6810</t>
  </si>
  <si>
    <t>SN6811</t>
  </si>
  <si>
    <t>SN6812</t>
  </si>
  <si>
    <t>SN6813</t>
  </si>
  <si>
    <t>SN6904</t>
  </si>
  <si>
    <t>SN6905</t>
  </si>
  <si>
    <t>SN6906</t>
  </si>
  <si>
    <t>SN6907</t>
  </si>
  <si>
    <t>SN6908</t>
  </si>
  <si>
    <t>SN6909</t>
  </si>
  <si>
    <t>SN6911</t>
  </si>
  <si>
    <t>SN6912</t>
  </si>
  <si>
    <t>SN6913</t>
  </si>
  <si>
    <t>SN7003</t>
  </si>
  <si>
    <t>SN7004</t>
  </si>
  <si>
    <t>SN7005</t>
  </si>
  <si>
    <t>SN7006</t>
  </si>
  <si>
    <t>SN7007</t>
  </si>
  <si>
    <t>SN7008</t>
  </si>
  <si>
    <t>SN7009</t>
  </si>
  <si>
    <t>SN7010</t>
  </si>
  <si>
    <t>SN7011</t>
  </si>
  <si>
    <t>SN7012</t>
  </si>
  <si>
    <t>SN7013</t>
  </si>
  <si>
    <t>SN7103</t>
  </si>
  <si>
    <t>SN7104</t>
  </si>
  <si>
    <t>SN7105</t>
  </si>
  <si>
    <t>SN7106</t>
  </si>
  <si>
    <t>SN7107</t>
  </si>
  <si>
    <t>SN7108</t>
  </si>
  <si>
    <t>SN7109</t>
  </si>
  <si>
    <t>SN7112</t>
  </si>
  <si>
    <t>SN7113</t>
  </si>
  <si>
    <t>BF4408</t>
  </si>
  <si>
    <t>BF4409</t>
  </si>
  <si>
    <t>BF4410</t>
  </si>
  <si>
    <t>BF4411</t>
  </si>
  <si>
    <t>BF4412</t>
  </si>
  <si>
    <t>BF4413</t>
  </si>
  <si>
    <t>BF4414</t>
  </si>
  <si>
    <t>BF4415</t>
  </si>
  <si>
    <t>BF4416</t>
  </si>
  <si>
    <t>BF4417</t>
  </si>
  <si>
    <t>BF4418</t>
  </si>
  <si>
    <t>BF4419</t>
  </si>
  <si>
    <t>BF4508</t>
  </si>
  <si>
    <t>BF4509</t>
  </si>
  <si>
    <t>BF4510</t>
  </si>
  <si>
    <t>BF4511</t>
  </si>
  <si>
    <t>BF4512</t>
  </si>
  <si>
    <t>BF4513</t>
  </si>
  <si>
    <t>BF4514</t>
  </si>
  <si>
    <t>BF4515</t>
  </si>
  <si>
    <t>BF4516</t>
  </si>
  <si>
    <t>BF4517</t>
  </si>
  <si>
    <t>BF4518</t>
  </si>
  <si>
    <t>BF4519</t>
  </si>
  <si>
    <t>BF4609</t>
  </si>
  <si>
    <t>BF4610</t>
  </si>
  <si>
    <t>BF4611</t>
  </si>
  <si>
    <t>BF4613</t>
  </si>
  <si>
    <t>BF4614</t>
  </si>
  <si>
    <t>BF4615</t>
  </si>
  <si>
    <t>BF4616</t>
  </si>
  <si>
    <t>BF4617</t>
  </si>
  <si>
    <t>BF4618</t>
  </si>
  <si>
    <t>BF4710</t>
  </si>
  <si>
    <t>BF4711</t>
  </si>
  <si>
    <t>BF4712</t>
  </si>
  <si>
    <t>BF4713</t>
  </si>
  <si>
    <t>BF4714</t>
  </si>
  <si>
    <t>BF4716</t>
  </si>
  <si>
    <t>BF4811</t>
  </si>
  <si>
    <t>BF4812</t>
  </si>
  <si>
    <t>BF4813</t>
  </si>
  <si>
    <t>BF4814</t>
  </si>
  <si>
    <t>BF4815</t>
  </si>
  <si>
    <t>SD3108</t>
  </si>
  <si>
    <t>SD3109</t>
  </si>
  <si>
    <t>SD3110</t>
  </si>
  <si>
    <t>SD3111</t>
  </si>
  <si>
    <t>SD3112</t>
  </si>
  <si>
    <t>SD3113</t>
  </si>
  <si>
    <t>SD3207</t>
  </si>
  <si>
    <t>SD3208</t>
  </si>
  <si>
    <t>SD3209</t>
  </si>
  <si>
    <t>SD3210</t>
  </si>
  <si>
    <t>SD3211</t>
  </si>
  <si>
    <t>SD3212</t>
  </si>
  <si>
    <t>SD3213</t>
  </si>
  <si>
    <t>SD3214</t>
  </si>
  <si>
    <t>SD3307</t>
  </si>
  <si>
    <t>SD3308</t>
  </si>
  <si>
    <t>SD3309</t>
  </si>
  <si>
    <t>SD3310</t>
  </si>
  <si>
    <t>SD3311</t>
  </si>
  <si>
    <t>SD3312</t>
  </si>
  <si>
    <t>SD3313</t>
  </si>
  <si>
    <t>SD3314</t>
  </si>
  <si>
    <t>SD3315</t>
  </si>
  <si>
    <t>SD3316</t>
  </si>
  <si>
    <t>SD3406</t>
  </si>
  <si>
    <t>SD3407</t>
  </si>
  <si>
    <t>SD3408</t>
  </si>
  <si>
    <t>SD3409</t>
  </si>
  <si>
    <t>SD3410</t>
  </si>
  <si>
    <t>SD3411</t>
  </si>
  <si>
    <t>SD3412</t>
  </si>
  <si>
    <t>SD3413</t>
  </si>
  <si>
    <t>SD3414</t>
  </si>
  <si>
    <t>SD3415</t>
  </si>
  <si>
    <t>SD3416</t>
  </si>
  <si>
    <t>SD3417</t>
  </si>
  <si>
    <t>SD3506</t>
  </si>
  <si>
    <t>SD3507</t>
  </si>
  <si>
    <t>SD3508</t>
  </si>
  <si>
    <t>SD3509</t>
  </si>
  <si>
    <t>SD3510</t>
  </si>
  <si>
    <t>SD3511</t>
  </si>
  <si>
    <t>SD3512</t>
  </si>
  <si>
    <t>SD3513</t>
  </si>
  <si>
    <t>SD3514</t>
  </si>
  <si>
    <t>SD3515</t>
  </si>
  <si>
    <t>SD3516</t>
  </si>
  <si>
    <t>SD3517</t>
  </si>
  <si>
    <t>SD3605</t>
  </si>
  <si>
    <t>SD3606</t>
  </si>
  <si>
    <t>SD3607</t>
  </si>
  <si>
    <t>SD3608</t>
  </si>
  <si>
    <t>SD3609</t>
  </si>
  <si>
    <t>SD3610</t>
  </si>
  <si>
    <t>SD3611</t>
  </si>
  <si>
    <t>SD3617</t>
  </si>
  <si>
    <t>SD3618</t>
  </si>
  <si>
    <t>SD3705</t>
  </si>
  <si>
    <t>SD3706</t>
  </si>
  <si>
    <t>SD3707</t>
  </si>
  <si>
    <t>SD3708</t>
  </si>
  <si>
    <t>SD3709</t>
  </si>
  <si>
    <t>SD3718</t>
  </si>
  <si>
    <t>SD3719</t>
  </si>
  <si>
    <t>SD3805</t>
  </si>
  <si>
    <t>SD3806</t>
  </si>
  <si>
    <t>SD3807</t>
  </si>
  <si>
    <t>SD3808</t>
  </si>
  <si>
    <t>SD3818</t>
  </si>
  <si>
    <t>SD3819</t>
  </si>
  <si>
    <t>SD3820</t>
  </si>
  <si>
    <t>SD3905</t>
  </si>
  <si>
    <t>SD3906</t>
  </si>
  <si>
    <t>SD3907</t>
  </si>
  <si>
    <t>SD3919</t>
  </si>
  <si>
    <t>SD3920</t>
  </si>
  <si>
    <t>SD4005</t>
  </si>
  <si>
    <t>SD4006</t>
  </si>
  <si>
    <t>SD4007</t>
  </si>
  <si>
    <t>SD4019</t>
  </si>
  <si>
    <t>SD4020</t>
  </si>
  <si>
    <t>SD4106</t>
  </si>
  <si>
    <t>SD4119</t>
  </si>
  <si>
    <t>SD4120</t>
  </si>
  <si>
    <t>SD4121</t>
  </si>
  <si>
    <t>SD4220</t>
  </si>
  <si>
    <t>SD4221</t>
  </si>
  <si>
    <t>SD4320</t>
  </si>
  <si>
    <t>SD4321</t>
  </si>
  <si>
    <t>SD4322</t>
  </si>
  <si>
    <t>SD4420</t>
  </si>
  <si>
    <t>SD4421</t>
  </si>
  <si>
    <t>SD4422</t>
  </si>
  <si>
    <t>SD4520</t>
  </si>
  <si>
    <t>SD4521</t>
  </si>
  <si>
    <t>SD4522</t>
  </si>
  <si>
    <t>SD4607</t>
  </si>
  <si>
    <t>SD4608</t>
  </si>
  <si>
    <t>SD4619</t>
  </si>
  <si>
    <t>SD4620</t>
  </si>
  <si>
    <t>SD4621</t>
  </si>
  <si>
    <t>SD4622</t>
  </si>
  <si>
    <t>SD4707</t>
  </si>
  <si>
    <t>SD4708</t>
  </si>
  <si>
    <t>SD4709</t>
  </si>
  <si>
    <t>SD4715</t>
  </si>
  <si>
    <t>SD4718</t>
  </si>
  <si>
    <t>SD4719</t>
  </si>
  <si>
    <t>SD4720</t>
  </si>
  <si>
    <t>SD4721</t>
  </si>
  <si>
    <t>SD4722</t>
  </si>
  <si>
    <t>SD4808</t>
  </si>
  <si>
    <t>SD4809</t>
  </si>
  <si>
    <t>SD4810</t>
  </si>
  <si>
    <t>SD4816</t>
  </si>
  <si>
    <t>SD4817</t>
  </si>
  <si>
    <t>SD4818</t>
  </si>
  <si>
    <t>SD4819</t>
  </si>
  <si>
    <t>SD4820</t>
  </si>
  <si>
    <t>SD4821</t>
  </si>
  <si>
    <t>SD4822</t>
  </si>
  <si>
    <t>SD4909</t>
  </si>
  <si>
    <t>SD4910</t>
  </si>
  <si>
    <t>SD4911</t>
  </si>
  <si>
    <t>SD4912</t>
  </si>
  <si>
    <t>SD4913</t>
  </si>
  <si>
    <t>SD4914</t>
  </si>
  <si>
    <t>SD4915</t>
  </si>
  <si>
    <t>SD4916</t>
  </si>
  <si>
    <t>SD4917</t>
  </si>
  <si>
    <t>SD4918</t>
  </si>
  <si>
    <t>SD4919</t>
  </si>
  <si>
    <t>SD4920</t>
  </si>
  <si>
    <t>SD4921</t>
  </si>
  <si>
    <t>SD4922</t>
  </si>
  <si>
    <t>SD5010</t>
  </si>
  <si>
    <t>SD5011</t>
  </si>
  <si>
    <t>SD5012</t>
  </si>
  <si>
    <t>SD5013</t>
  </si>
  <si>
    <t>SD5014</t>
  </si>
  <si>
    <t>SD5015</t>
  </si>
  <si>
    <t>SD5016</t>
  </si>
  <si>
    <t>SD5017</t>
  </si>
  <si>
    <t>SD5018</t>
  </si>
  <si>
    <t>SD5019</t>
  </si>
  <si>
    <t>SD5020</t>
  </si>
  <si>
    <t>SD5021</t>
  </si>
  <si>
    <t>SD5022</t>
  </si>
  <si>
    <t>SD5111</t>
  </si>
  <si>
    <t>SD5112</t>
  </si>
  <si>
    <t>SD5113</t>
  </si>
  <si>
    <t>SD5114</t>
  </si>
  <si>
    <t>SD5115</t>
  </si>
  <si>
    <t>SD5116</t>
  </si>
  <si>
    <t>SD5117</t>
  </si>
  <si>
    <t>SD5118</t>
  </si>
  <si>
    <t>SD5119</t>
  </si>
  <si>
    <t>SD5120</t>
  </si>
  <si>
    <t>SD5121</t>
  </si>
  <si>
    <t>SD5122</t>
  </si>
  <si>
    <t>SD5211</t>
  </si>
  <si>
    <t>SD5212</t>
  </si>
  <si>
    <t>SD5213</t>
  </si>
  <si>
    <t>SD5214</t>
  </si>
  <si>
    <t>SD5215</t>
  </si>
  <si>
    <t>SD5216</t>
  </si>
  <si>
    <t>SD5217</t>
  </si>
  <si>
    <t>SD5218</t>
  </si>
  <si>
    <t>SD5219</t>
  </si>
  <si>
    <t>SD5220</t>
  </si>
  <si>
    <t>SD5221</t>
  </si>
  <si>
    <t>SD5222</t>
  </si>
  <si>
    <t>SD5316</t>
  </si>
  <si>
    <t>SD5317</t>
  </si>
  <si>
    <t>SD5318</t>
  </si>
  <si>
    <t>SD5319</t>
  </si>
  <si>
    <t>SD5320</t>
  </si>
  <si>
    <t>SD5321</t>
  </si>
  <si>
    <t>SD6306</t>
  </si>
  <si>
    <t>SD6307</t>
  </si>
  <si>
    <t>SD6308</t>
  </si>
  <si>
    <t>SD6402</t>
  </si>
  <si>
    <t>SD6403</t>
  </si>
  <si>
    <t>SD6404</t>
  </si>
  <si>
    <t>SD6405</t>
  </si>
  <si>
    <t>SD6406</t>
  </si>
  <si>
    <t>SD6502</t>
  </si>
  <si>
    <t>SD6503</t>
  </si>
  <si>
    <t>SD6504</t>
  </si>
  <si>
    <t>SD6505</t>
  </si>
  <si>
    <t>SD6603</t>
  </si>
  <si>
    <t>SD6604</t>
  </si>
  <si>
    <t>SD6703</t>
  </si>
  <si>
    <t>SD6815</t>
  </si>
  <si>
    <t>SD6816</t>
  </si>
  <si>
    <t>SD6817</t>
  </si>
  <si>
    <t>SD6818</t>
  </si>
  <si>
    <t>SD6819</t>
  </si>
  <si>
    <t>SD6820</t>
  </si>
  <si>
    <t>SD6915</t>
  </si>
  <si>
    <t>SD6916</t>
  </si>
  <si>
    <t>SD6917</t>
  </si>
  <si>
    <t>SD6918</t>
  </si>
  <si>
    <t>SD6919</t>
  </si>
  <si>
    <t>SD6920</t>
  </si>
  <si>
    <t>SD6921</t>
  </si>
  <si>
    <t>SD7015</t>
  </si>
  <si>
    <t>SD7016</t>
  </si>
  <si>
    <t>SD7017</t>
  </si>
  <si>
    <t>SD7018</t>
  </si>
  <si>
    <t>SD7019</t>
  </si>
  <si>
    <t>SD7020</t>
  </si>
  <si>
    <t>SD7021</t>
  </si>
  <si>
    <t>SD7022</t>
  </si>
  <si>
    <t>SD7115</t>
  </si>
  <si>
    <t>SD7116</t>
  </si>
  <si>
    <t>SD7117</t>
  </si>
  <si>
    <t>SD7118</t>
  </si>
  <si>
    <t>SD7119</t>
  </si>
  <si>
    <t>SD7120</t>
  </si>
  <si>
    <t>SD7121</t>
  </si>
  <si>
    <t>SD7122</t>
  </si>
  <si>
    <t>SD7215</t>
  </si>
  <si>
    <t>SD7216</t>
  </si>
  <si>
    <t>SD7217</t>
  </si>
  <si>
    <t>SD7218</t>
  </si>
  <si>
    <t>SD7219</t>
  </si>
  <si>
    <t>SD7220</t>
  </si>
  <si>
    <t>SD7221</t>
  </si>
  <si>
    <t>SD7222</t>
  </si>
  <si>
    <t>SD7314</t>
  </si>
  <si>
    <t>SD7315</t>
  </si>
  <si>
    <t>SD7316</t>
  </si>
  <si>
    <t>SD7317</t>
  </si>
  <si>
    <t>SD7318</t>
  </si>
  <si>
    <t>SD7319</t>
  </si>
  <si>
    <t>SD7320</t>
  </si>
  <si>
    <t>SD7321</t>
  </si>
  <si>
    <t>SD7322</t>
  </si>
  <si>
    <t>SD7414</t>
  </si>
  <si>
    <t>SD7415</t>
  </si>
  <si>
    <t>SD7416</t>
  </si>
  <si>
    <t>SD7417</t>
  </si>
  <si>
    <t>SD7418</t>
  </si>
  <si>
    <t>SD7419</t>
  </si>
  <si>
    <t>SD7420</t>
  </si>
  <si>
    <t>SD7421</t>
  </si>
  <si>
    <t>SD7422</t>
  </si>
  <si>
    <t>SD7513</t>
  </si>
  <si>
    <t>SD7514</t>
  </si>
  <si>
    <t>SD7515</t>
  </si>
  <si>
    <t>SD7516</t>
  </si>
  <si>
    <t>SD7517</t>
  </si>
  <si>
    <t>SD7518</t>
  </si>
  <si>
    <t>SD7519</t>
  </si>
  <si>
    <t>SD7520</t>
  </si>
  <si>
    <t>SD7521</t>
  </si>
  <si>
    <t>SD7522</t>
  </si>
  <si>
    <t>SD7604</t>
  </si>
  <si>
    <t>SD7807</t>
  </si>
  <si>
    <t>SD7711</t>
  </si>
  <si>
    <t>SD7712</t>
  </si>
  <si>
    <t>SD7713</t>
  </si>
  <si>
    <t>SD7714</t>
  </si>
  <si>
    <t>SD7715</t>
  </si>
  <si>
    <t>SD7716</t>
  </si>
  <si>
    <t>SD7717</t>
  </si>
  <si>
    <t>SD7806</t>
  </si>
  <si>
    <t>SD7612</t>
  </si>
  <si>
    <t>SD7613</t>
  </si>
  <si>
    <t>SD7614</t>
  </si>
  <si>
    <t>SD7615</t>
  </si>
  <si>
    <t>SD7616</t>
  </si>
  <si>
    <t>SD7617</t>
  </si>
  <si>
    <t>SD7618</t>
  </si>
  <si>
    <t>SD7619</t>
  </si>
  <si>
    <t>SD7620</t>
  </si>
  <si>
    <t>SD7621</t>
  </si>
  <si>
    <t>SD7705</t>
  </si>
  <si>
    <t>SD7810</t>
  </si>
  <si>
    <t>SD7811</t>
  </si>
  <si>
    <t>SD7812</t>
  </si>
  <si>
    <t>SD7813</t>
  </si>
  <si>
    <t>SD7814</t>
  </si>
  <si>
    <t>SD7815</t>
  </si>
  <si>
    <t>SD7816</t>
  </si>
  <si>
    <t>SD7910</t>
  </si>
  <si>
    <t>SD7911</t>
  </si>
  <si>
    <t>SD7912</t>
  </si>
  <si>
    <t>SD7913</t>
  </si>
  <si>
    <t>SD7914</t>
  </si>
  <si>
    <t>SD8011</t>
  </si>
  <si>
    <t>SD8012</t>
  </si>
  <si>
    <t>SD8013</t>
  </si>
  <si>
    <t>MD0828</t>
  </si>
  <si>
    <t>MD0928</t>
  </si>
  <si>
    <t>MD1029</t>
  </si>
  <si>
    <t>MD1131</t>
  </si>
  <si>
    <t>MD5401</t>
  </si>
  <si>
    <t>MD5402</t>
  </si>
  <si>
    <t>MD5403</t>
  </si>
  <si>
    <t>MD5404</t>
  </si>
  <si>
    <t>MD5405</t>
  </si>
  <si>
    <t>MD5406</t>
  </si>
  <si>
    <t>MD5407</t>
  </si>
  <si>
    <t>MD5501</t>
  </si>
  <si>
    <t>MD5502</t>
  </si>
  <si>
    <t>MD5503</t>
  </si>
  <si>
    <t>MD5504</t>
  </si>
  <si>
    <t>MD5505</t>
  </si>
  <si>
    <t>MD5506</t>
  </si>
  <si>
    <t>MD5507</t>
  </si>
  <si>
    <t>MD5508</t>
  </si>
  <si>
    <t>MD5509</t>
  </si>
  <si>
    <t>MD5601</t>
  </si>
  <si>
    <t>MD5602</t>
  </si>
  <si>
    <t>MD5603</t>
  </si>
  <si>
    <t>MD5604</t>
  </si>
  <si>
    <t>MD5605</t>
  </si>
  <si>
    <t>MD5606</t>
  </si>
  <si>
    <t>MD5607</t>
  </si>
  <si>
    <t>MD5608</t>
  </si>
  <si>
    <t>MD5609</t>
  </si>
  <si>
    <t>MD5610</t>
  </si>
  <si>
    <t>MD5611</t>
  </si>
  <si>
    <t>MD5701</t>
  </si>
  <si>
    <t>MD5702</t>
  </si>
  <si>
    <t>MD5703</t>
  </si>
  <si>
    <t>MD5704</t>
  </si>
  <si>
    <t>MD5705</t>
  </si>
  <si>
    <t>MD5706</t>
  </si>
  <si>
    <t>MD5707</t>
  </si>
  <si>
    <t>MD5708</t>
  </si>
  <si>
    <t>MD5709</t>
  </si>
  <si>
    <t>MD5710</t>
  </si>
  <si>
    <t>MD5711</t>
  </si>
  <si>
    <t>MD5712</t>
  </si>
  <si>
    <t>MD5713</t>
  </si>
  <si>
    <t>MD5802</t>
  </si>
  <si>
    <t>MD5803</t>
  </si>
  <si>
    <t>MD5804</t>
  </si>
  <si>
    <t>MD5805</t>
  </si>
  <si>
    <t>MD5806</t>
  </si>
  <si>
    <t>MD5807</t>
  </si>
  <si>
    <t>MD5808</t>
  </si>
  <si>
    <t>MD5809</t>
  </si>
  <si>
    <t>MD5810</t>
  </si>
  <si>
    <t>MD5811</t>
  </si>
  <si>
    <t>MD5903</t>
  </si>
  <si>
    <t>MD5904</t>
  </si>
  <si>
    <t>MD5905</t>
  </si>
  <si>
    <t>MD5906</t>
  </si>
  <si>
    <t>MD5907</t>
  </si>
  <si>
    <t>MD5908</t>
  </si>
  <si>
    <t>MD5909</t>
  </si>
  <si>
    <t>MD5910</t>
  </si>
  <si>
    <t>MD5911</t>
  </si>
  <si>
    <t>MD5912</t>
  </si>
  <si>
    <t>MD5913</t>
  </si>
  <si>
    <t>MD6008</t>
  </si>
  <si>
    <t>MD6009</t>
  </si>
  <si>
    <t>MD6010</t>
  </si>
  <si>
    <t>MD6011</t>
  </si>
  <si>
    <t>MD6012</t>
  </si>
  <si>
    <t>MD6013</t>
  </si>
  <si>
    <t>MD6014</t>
  </si>
  <si>
    <t>MD6109</t>
  </si>
  <si>
    <t>MD6110</t>
  </si>
  <si>
    <t>MD6111</t>
  </si>
  <si>
    <t>MD6112</t>
  </si>
  <si>
    <t>MD6113</t>
  </si>
  <si>
    <t>MD6114</t>
  </si>
  <si>
    <t>MD6115</t>
  </si>
  <si>
    <t>MD6116</t>
  </si>
  <si>
    <t>A01</t>
  </si>
  <si>
    <t>A02</t>
  </si>
  <si>
    <t>A03</t>
  </si>
  <si>
    <t>A04</t>
  </si>
  <si>
    <t>A05</t>
  </si>
  <si>
    <t>A06</t>
  </si>
  <si>
    <t>A07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</si>
  <si>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</si>
  <si>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</si>
  <si>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</si>
  <si>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</si>
  <si>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</si>
  <si>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</si>
  <si>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</si>
  <si>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</si>
  <si>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</si>
  <si>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</si>
  <si>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</si>
  <si>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</si>
  <si>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</si>
  <si>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</si>
  <si>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</si>
  <si>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</si>
  <si>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</si>
  <si>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</si>
  <si>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</si>
  <si>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</si>
  <si>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</si>
  <si>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</si>
  <si>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</si>
  <si>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</si>
  <si>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</si>
  <si>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</si>
  <si>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</si>
  <si>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</si>
  <si>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</si>
  <si>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</si>
  <si>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</si>
  <si>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</si>
  <si>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</si>
  <si>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</si>
  <si>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</si>
  <si>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</si>
  <si>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</si>
  <si>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</si>
  <si>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</si>
  <si>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</si>
  <si>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</si>
  <si>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</si>
  <si>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</si>
  <si>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</si>
  <si>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</si>
  <si>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</si>
  <si>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</si>
  <si>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</si>
  <si>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</si>
  <si>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</si>
  <si>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</si>
  <si>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</si>
  <si>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</si>
  <si>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</si>
  <si>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G08</t>
  </si>
  <si>
    <t>G09</t>
  </si>
  <si>
    <t>G10</t>
  </si>
  <si>
    <t>G11</t>
  </si>
  <si>
    <t>G12</t>
  </si>
  <si>
    <t>G13</t>
  </si>
  <si>
    <t>G14</t>
  </si>
  <si>
    <t>H09</t>
  </si>
  <si>
    <t>H10</t>
  </si>
  <si>
    <t>H11</t>
  </si>
  <si>
    <t>H12</t>
  </si>
  <si>
    <t>H13</t>
  </si>
  <si>
    <t>H14</t>
  </si>
  <si>
    <t>H15</t>
  </si>
  <si>
    <t>H16</t>
  </si>
  <si>
    <t>SK0418</t>
  </si>
  <si>
    <t>SK0318</t>
  </si>
  <si>
    <t>SK0518</t>
  </si>
  <si>
    <t>SK0519</t>
  </si>
  <si>
    <t>SK0520</t>
  </si>
  <si>
    <t>SK0618</t>
  </si>
  <si>
    <t>SK0619</t>
  </si>
  <si>
    <t>SK0620</t>
  </si>
  <si>
    <t>SK0621</t>
  </si>
  <si>
    <t>SK0718</t>
  </si>
  <si>
    <t>SK0719</t>
  </si>
  <si>
    <t>SK0720</t>
  </si>
  <si>
    <t>SK0721</t>
  </si>
  <si>
    <t>SK0722</t>
  </si>
  <si>
    <t>SK0818</t>
  </si>
  <si>
    <t>SK0819</t>
  </si>
  <si>
    <t>SK0820</t>
  </si>
  <si>
    <t>SK0821</t>
  </si>
  <si>
    <t>SK0822</t>
  </si>
  <si>
    <t>SK0823</t>
  </si>
  <si>
    <t>SK0918</t>
  </si>
  <si>
    <t>SK0919</t>
  </si>
  <si>
    <t>SK0920</t>
  </si>
  <si>
    <t>SK0921</t>
  </si>
  <si>
    <t>SK0922</t>
  </si>
  <si>
    <t>SK0923</t>
  </si>
  <si>
    <t>SK0924</t>
  </si>
  <si>
    <t>SK1018</t>
  </si>
  <si>
    <t>SK1019</t>
  </si>
  <si>
    <t>SK1020</t>
  </si>
  <si>
    <t>SK1021</t>
  </si>
  <si>
    <t>SK1022</t>
  </si>
  <si>
    <t>SK1023</t>
  </si>
  <si>
    <t>SK1024</t>
  </si>
  <si>
    <t>SK1025</t>
  </si>
  <si>
    <t>SK1118</t>
  </si>
  <si>
    <t>SK1119</t>
  </si>
  <si>
    <t>SK1120</t>
  </si>
  <si>
    <t>SK1121</t>
  </si>
  <si>
    <t>SK1122</t>
  </si>
  <si>
    <t>SK1123</t>
  </si>
  <si>
    <t>SK1124</t>
  </si>
  <si>
    <t>SK1125</t>
  </si>
  <si>
    <t>SK1126</t>
  </si>
  <si>
    <t>SK1218</t>
  </si>
  <si>
    <t>SK1219</t>
  </si>
  <si>
    <t>SK1220</t>
  </si>
  <si>
    <t>SK1221</t>
  </si>
  <si>
    <t>SK1222</t>
  </si>
  <si>
    <t>SK1223</t>
  </si>
  <si>
    <t>SK1224</t>
  </si>
  <si>
    <t>SK1225</t>
  </si>
  <si>
    <t>SK1226</t>
  </si>
  <si>
    <t>SK1318</t>
  </si>
  <si>
    <t>SK1319</t>
  </si>
  <si>
    <t>SK1320</t>
  </si>
  <si>
    <t>SK1321</t>
  </si>
  <si>
    <t>SK1322</t>
  </si>
  <si>
    <t>SK1323</t>
  </si>
  <si>
    <t>SK1324</t>
  </si>
  <si>
    <t>SK1325</t>
  </si>
  <si>
    <t>SK1326</t>
  </si>
  <si>
    <t>SK1327</t>
  </si>
  <si>
    <t>SK1418</t>
  </si>
  <si>
    <t>SK1419</t>
  </si>
  <si>
    <t>SK1420</t>
  </si>
  <si>
    <t>SK1421</t>
  </si>
  <si>
    <t>SK1422</t>
  </si>
  <si>
    <t>SK1423</t>
  </si>
  <si>
    <t>SK1424</t>
  </si>
  <si>
    <t>SK1425</t>
  </si>
  <si>
    <t>SK1426</t>
  </si>
  <si>
    <t>SK1427</t>
  </si>
  <si>
    <t>SK1428</t>
  </si>
  <si>
    <t>SK1518</t>
  </si>
  <si>
    <t>SK1519</t>
  </si>
  <si>
    <t>SK1520</t>
  </si>
  <si>
    <t>SK1521</t>
  </si>
  <si>
    <t>SK1522</t>
  </si>
  <si>
    <t>SK1523</t>
  </si>
  <si>
    <t>SK1524</t>
  </si>
  <si>
    <t>SK1525</t>
  </si>
  <si>
    <t>SK1526</t>
  </si>
  <si>
    <t>SK1527</t>
  </si>
  <si>
    <t>SK1528</t>
  </si>
  <si>
    <t>SK1618</t>
  </si>
  <si>
    <t>SK1619</t>
  </si>
  <si>
    <t>SK1620</t>
  </si>
  <si>
    <t>SK1621</t>
  </si>
  <si>
    <t>SK1622</t>
  </si>
  <si>
    <t>SK1623</t>
  </si>
  <si>
    <t>SK1624</t>
  </si>
  <si>
    <t>SK1625</t>
  </si>
  <si>
    <t>SK1626</t>
  </si>
  <si>
    <t>SK1627</t>
  </si>
  <si>
    <t>SK1628</t>
  </si>
  <si>
    <t>SK1718</t>
  </si>
  <si>
    <t>SK1719</t>
  </si>
  <si>
    <t>SK1720</t>
  </si>
  <si>
    <t>SK1721</t>
  </si>
  <si>
    <t>SK1722</t>
  </si>
  <si>
    <t>SK1723</t>
  </si>
  <si>
    <t>SK1724</t>
  </si>
  <si>
    <t>SK1725</t>
  </si>
  <si>
    <t>SK1726</t>
  </si>
  <si>
    <t>SK1727</t>
  </si>
  <si>
    <t>SK1728</t>
  </si>
  <si>
    <t>SK1818</t>
  </si>
  <si>
    <t>SK1819</t>
  </si>
  <si>
    <t>SK1820</t>
  </si>
  <si>
    <t>SK1821</t>
  </si>
  <si>
    <t>SK1822</t>
  </si>
  <si>
    <t>SK1823</t>
  </si>
  <si>
    <t>SK1824</t>
  </si>
  <si>
    <t>SK1825</t>
  </si>
  <si>
    <t>SK1826</t>
  </si>
  <si>
    <t>SK1827</t>
  </si>
  <si>
    <t>SK1828</t>
  </si>
  <si>
    <t>SK1918</t>
  </si>
  <si>
    <t>SK1919</t>
  </si>
  <si>
    <t>SK1920</t>
  </si>
  <si>
    <t>SK1921</t>
  </si>
  <si>
    <t>SK1922</t>
  </si>
  <si>
    <t>SK1923</t>
  </si>
  <si>
    <t>SK1924</t>
  </si>
  <si>
    <t>SK1925</t>
  </si>
  <si>
    <t>SK1926</t>
  </si>
  <si>
    <t>SK1927</t>
  </si>
  <si>
    <t>SK2018</t>
  </si>
  <si>
    <t>SK2019</t>
  </si>
  <si>
    <t>SK2020</t>
  </si>
  <si>
    <t>SK2021</t>
  </si>
  <si>
    <t>SK2022</t>
  </si>
  <si>
    <t>SK2023</t>
  </si>
  <si>
    <t>SK2024</t>
  </si>
  <si>
    <t>SK2025</t>
  </si>
  <si>
    <t>SK2118</t>
  </si>
  <si>
    <t>SK2119</t>
  </si>
  <si>
    <t>SK2120</t>
  </si>
  <si>
    <t>SK2121</t>
  </si>
  <si>
    <t>SK2122</t>
  </si>
  <si>
    <t>SK2123</t>
  </si>
  <si>
    <t>SK2218</t>
  </si>
  <si>
    <t>SK2219</t>
  </si>
  <si>
    <t>SK2220</t>
  </si>
  <si>
    <t>SK2412</t>
  </si>
  <si>
    <t>BR1301</t>
  </si>
  <si>
    <t>BR1302</t>
  </si>
  <si>
    <t>BR1303</t>
  </si>
  <si>
    <t>BR1304</t>
  </si>
  <si>
    <t>BR1305</t>
  </si>
  <si>
    <t>BR1306</t>
  </si>
  <si>
    <t>BR1307</t>
  </si>
  <si>
    <t>BR1308</t>
  </si>
  <si>
    <t>BR1309</t>
  </si>
  <si>
    <t>BR1310</t>
  </si>
  <si>
    <t>BR1311</t>
  </si>
  <si>
    <t>BR1312</t>
  </si>
  <si>
    <t>BR1313</t>
  </si>
  <si>
    <t>BR1314</t>
  </si>
  <si>
    <t>BR1315</t>
  </si>
  <si>
    <t>BR1316</t>
  </si>
  <si>
    <t>BR1317</t>
  </si>
  <si>
    <t>BR1401</t>
  </si>
  <si>
    <t>BR1402</t>
  </si>
  <si>
    <t>BR1403</t>
  </si>
  <si>
    <t>BR1404</t>
  </si>
  <si>
    <t>BR1405</t>
  </si>
  <si>
    <t>BR1406</t>
  </si>
  <si>
    <t>BR1407</t>
  </si>
  <si>
    <t>BR1408</t>
  </si>
  <si>
    <t>BR1409</t>
  </si>
  <si>
    <t>BR1410</t>
  </si>
  <si>
    <t>BR1411</t>
  </si>
  <si>
    <t>BR1412</t>
  </si>
  <si>
    <t>BR1413</t>
  </si>
  <si>
    <t>BR1414</t>
  </si>
  <si>
    <t>BR1415</t>
  </si>
  <si>
    <t>BR1416</t>
  </si>
  <si>
    <t>BR1417</t>
  </si>
  <si>
    <t>BR1501</t>
  </si>
  <si>
    <t>BR1502</t>
  </si>
  <si>
    <t>BR1503</t>
  </si>
  <si>
    <t>BR1504</t>
  </si>
  <si>
    <t>BR1505</t>
  </si>
  <si>
    <t>BR1506</t>
  </si>
  <si>
    <t>BR1507</t>
  </si>
  <si>
    <t>BR1508</t>
  </si>
  <si>
    <t>BR1509</t>
  </si>
  <si>
    <t>BR1510</t>
  </si>
  <si>
    <t>BR1511</t>
  </si>
  <si>
    <t>BR1512</t>
  </si>
  <si>
    <t>BR1513</t>
  </si>
  <si>
    <t>BR1514</t>
  </si>
  <si>
    <t>BR1515</t>
  </si>
  <si>
    <t>BR1516</t>
  </si>
  <si>
    <t>BR1517</t>
  </si>
  <si>
    <t>BR1601</t>
  </si>
  <si>
    <t>BR1602</t>
  </si>
  <si>
    <t>BR1603</t>
  </si>
  <si>
    <t>BR1604</t>
  </si>
  <si>
    <t>BR1605</t>
  </si>
  <si>
    <t>BR1606</t>
  </si>
  <si>
    <t>BR1607</t>
  </si>
  <si>
    <t>BR1608</t>
  </si>
  <si>
    <t>BR1609</t>
  </si>
  <si>
    <t>BR1610</t>
  </si>
  <si>
    <t>BR1611</t>
  </si>
  <si>
    <t>BR1612</t>
  </si>
  <si>
    <t>BR1613</t>
  </si>
  <si>
    <t>BR1614</t>
  </si>
  <si>
    <t>BR1615</t>
  </si>
  <si>
    <t>BR1616</t>
  </si>
  <si>
    <t>BR1617</t>
  </si>
  <si>
    <t>BR1701</t>
  </si>
  <si>
    <t>BR1702</t>
  </si>
  <si>
    <t>BR1703</t>
  </si>
  <si>
    <t>BR1704</t>
  </si>
  <si>
    <t>BR1705</t>
  </si>
  <si>
    <t>BR1706</t>
  </si>
  <si>
    <t>BR1707</t>
  </si>
  <si>
    <t>BR1708</t>
  </si>
  <si>
    <t>BR1709</t>
  </si>
  <si>
    <t>BR1710</t>
  </si>
  <si>
    <t>BR1711</t>
  </si>
  <si>
    <t>BR1712</t>
  </si>
  <si>
    <t>BR1713</t>
  </si>
  <si>
    <t>BR1714</t>
  </si>
  <si>
    <t>BR1715</t>
  </si>
  <si>
    <t>BR1716</t>
  </si>
  <si>
    <t>BR1717</t>
  </si>
  <si>
    <t>BR1801</t>
  </si>
  <si>
    <t>BR1802</t>
  </si>
  <si>
    <t>BR1803</t>
  </si>
  <si>
    <t>BR1804</t>
  </si>
  <si>
    <t>BR1805</t>
  </si>
  <si>
    <t>BR1806</t>
  </si>
  <si>
    <t>BR1807</t>
  </si>
  <si>
    <t>BR1808</t>
  </si>
  <si>
    <t>BR1809</t>
  </si>
  <si>
    <t>BR1810</t>
  </si>
  <si>
    <t>BR1811</t>
  </si>
  <si>
    <t>BR1812</t>
  </si>
  <si>
    <t>BR1813</t>
  </si>
  <si>
    <t>BR1814</t>
  </si>
  <si>
    <t>BR1815</t>
  </si>
  <si>
    <t>BR1816</t>
  </si>
  <si>
    <t>BR1817</t>
  </si>
  <si>
    <t>BR1902</t>
  </si>
  <si>
    <t>BR1903</t>
  </si>
  <si>
    <t>BR1904</t>
  </si>
  <si>
    <t>BR1905</t>
  </si>
  <si>
    <t>BR1906</t>
  </si>
  <si>
    <t>BR1907</t>
  </si>
  <si>
    <t>BR1908</t>
  </si>
  <si>
    <t>BR1909</t>
  </si>
  <si>
    <t>BR1910</t>
  </si>
  <si>
    <t>BR1911</t>
  </si>
  <si>
    <t>BR1912</t>
  </si>
  <si>
    <t>BR1913</t>
  </si>
  <si>
    <t>BR1914</t>
  </si>
  <si>
    <t>BR1915</t>
  </si>
  <si>
    <t>BR1916</t>
  </si>
  <si>
    <t>BR1917</t>
  </si>
  <si>
    <t>BR2004</t>
  </si>
  <si>
    <t>BR2005</t>
  </si>
  <si>
    <t>BR2006</t>
  </si>
  <si>
    <t>BR2007</t>
  </si>
  <si>
    <t>BR2008</t>
  </si>
  <si>
    <t>BR2009</t>
  </si>
  <si>
    <t>BR2010</t>
  </si>
  <si>
    <t>BR2011</t>
  </si>
  <si>
    <t>BR2012</t>
  </si>
  <si>
    <t>BR2013</t>
  </si>
  <si>
    <t>BR2014</t>
  </si>
  <si>
    <t>BR2015</t>
  </si>
  <si>
    <t>BR2016</t>
  </si>
  <si>
    <t>BR2017</t>
  </si>
  <si>
    <t>BR2106</t>
  </si>
  <si>
    <t>BR2107</t>
  </si>
  <si>
    <t>BR2108</t>
  </si>
  <si>
    <t>BR2109</t>
  </si>
  <si>
    <t>BR2110</t>
  </si>
  <si>
    <t>BR2111</t>
  </si>
  <si>
    <t>BR2112</t>
  </si>
  <si>
    <t>BR2113</t>
  </si>
  <si>
    <t>BR2114</t>
  </si>
  <si>
    <t>BR2115</t>
  </si>
  <si>
    <t>BR2116</t>
  </si>
  <si>
    <t>BR2117</t>
  </si>
  <si>
    <t>BR2207</t>
  </si>
  <si>
    <t>BR2208</t>
  </si>
  <si>
    <t>BR2209</t>
  </si>
  <si>
    <t>BR2210</t>
  </si>
  <si>
    <t>BR2211</t>
  </si>
  <si>
    <t>BR2212</t>
  </si>
  <si>
    <t>BR2213</t>
  </si>
  <si>
    <t>BR2214</t>
  </si>
  <si>
    <t>BR2215</t>
  </si>
  <si>
    <t>BR2216</t>
  </si>
  <si>
    <t>BR2217</t>
  </si>
  <si>
    <t>BR2307</t>
  </si>
  <si>
    <t>BR2308</t>
  </si>
  <si>
    <t>BR2309</t>
  </si>
  <si>
    <t>BR2310</t>
  </si>
  <si>
    <t>BR2311</t>
  </si>
  <si>
    <t>BR2312</t>
  </si>
  <si>
    <t>BR2313</t>
  </si>
  <si>
    <t>BR2314</t>
  </si>
  <si>
    <t>BR2315</t>
  </si>
  <si>
    <t>BR2316</t>
  </si>
  <si>
    <t>BR2317</t>
  </si>
  <si>
    <t>BR2408</t>
  </si>
  <si>
    <t>BR2409</t>
  </si>
  <si>
    <t>BR2410</t>
  </si>
  <si>
    <t>BR2411</t>
  </si>
  <si>
    <t>LR0106</t>
  </si>
  <si>
    <t>LR0107</t>
  </si>
  <si>
    <t>LR0108</t>
  </si>
  <si>
    <t>LR0109</t>
  </si>
  <si>
    <t>LR0110</t>
  </si>
  <si>
    <t>LR0111</t>
  </si>
  <si>
    <t>LR0112</t>
  </si>
  <si>
    <t>LR0113</t>
  </si>
  <si>
    <t>LR0114</t>
  </si>
  <si>
    <t>LR0115</t>
  </si>
  <si>
    <t>LR0116</t>
  </si>
  <si>
    <t>LR0205</t>
  </si>
  <si>
    <t>LR0206</t>
  </si>
  <si>
    <t>LR0207</t>
  </si>
  <si>
    <t>LR0208</t>
  </si>
  <si>
    <t>LR0209</t>
  </si>
  <si>
    <t>LR0210</t>
  </si>
  <si>
    <t>LR0211</t>
  </si>
  <si>
    <t>LR0212</t>
  </si>
  <si>
    <t>LR0213</t>
  </si>
  <si>
    <t>LR0214</t>
  </si>
  <si>
    <t>LR0215</t>
  </si>
  <si>
    <t>LR0216</t>
  </si>
  <si>
    <t>LR0217</t>
  </si>
  <si>
    <t>LR0304</t>
  </si>
  <si>
    <t>LR0305</t>
  </si>
  <si>
    <t>LR0306</t>
  </si>
  <si>
    <t>LR0307</t>
  </si>
  <si>
    <t>LR0308</t>
  </si>
  <si>
    <t>LR0309</t>
  </si>
  <si>
    <t>LR0310</t>
  </si>
  <si>
    <t>LR0311</t>
  </si>
  <si>
    <t>LR0312</t>
  </si>
  <si>
    <t>LR0313</t>
  </si>
  <si>
    <t>LR0314</t>
  </si>
  <si>
    <t>LR0315</t>
  </si>
  <si>
    <t>LR0316</t>
  </si>
  <si>
    <t>LR0317</t>
  </si>
  <si>
    <t>LR0403</t>
  </si>
  <si>
    <t>LR0404</t>
  </si>
  <si>
    <t>LR0405</t>
  </si>
  <si>
    <t>LR0406</t>
  </si>
  <si>
    <t>LR0407</t>
  </si>
  <si>
    <t>LR0408</t>
  </si>
  <si>
    <t>LR0409</t>
  </si>
  <si>
    <t>LR0410</t>
  </si>
  <si>
    <t>LR0411</t>
  </si>
  <si>
    <t>LR0412</t>
  </si>
  <si>
    <t>LR0413</t>
  </si>
  <si>
    <t>LR0414</t>
  </si>
  <si>
    <t>LR0415</t>
  </si>
  <si>
    <t>LR0416</t>
  </si>
  <si>
    <t>LR0417</t>
  </si>
  <si>
    <t>LR0419</t>
  </si>
  <si>
    <t>LR0502</t>
  </si>
  <si>
    <t>LR0503</t>
  </si>
  <si>
    <t>LR0504</t>
  </si>
  <si>
    <t>LR0505</t>
  </si>
  <si>
    <t>LR0506</t>
  </si>
  <si>
    <t>LR0507</t>
  </si>
  <si>
    <t>LR0508</t>
  </si>
  <si>
    <t>LR0509</t>
  </si>
  <si>
    <t>LR0510</t>
  </si>
  <si>
    <t>LR0511</t>
  </si>
  <si>
    <t>LR0512</t>
  </si>
  <si>
    <t>LR0513</t>
  </si>
  <si>
    <t>LR0514</t>
  </si>
  <si>
    <t>LR0515</t>
  </si>
  <si>
    <t>LR0516</t>
  </si>
  <si>
    <t>LR0517</t>
  </si>
  <si>
    <t>LR0601</t>
  </si>
  <si>
    <t>LR0602</t>
  </si>
  <si>
    <t>LR0603</t>
  </si>
  <si>
    <t>LR0604</t>
  </si>
  <si>
    <t>LR0605</t>
  </si>
  <si>
    <t>LR0606</t>
  </si>
  <si>
    <t>LR0607</t>
  </si>
  <si>
    <t>LR0608</t>
  </si>
  <si>
    <t>LR0609</t>
  </si>
  <si>
    <t>LR0610</t>
  </si>
  <si>
    <t>LR0611</t>
  </si>
  <si>
    <t>LR0612</t>
  </si>
  <si>
    <t>LR0613</t>
  </si>
  <si>
    <t>LR0614</t>
  </si>
  <si>
    <t>LR0615</t>
  </si>
  <si>
    <t>LR0616</t>
  </si>
  <si>
    <t>LR0617</t>
  </si>
  <si>
    <t>LR0701</t>
  </si>
  <si>
    <t>LR0702</t>
  </si>
  <si>
    <t>LR0703</t>
  </si>
  <si>
    <t>LR0704</t>
  </si>
  <si>
    <t>LR0705</t>
  </si>
  <si>
    <t>LR0706</t>
  </si>
  <si>
    <t>LR0707</t>
  </si>
  <si>
    <t>LR0708</t>
  </si>
  <si>
    <t>LR0709</t>
  </si>
  <si>
    <t>LR0710</t>
  </si>
  <si>
    <t>LR0711</t>
  </si>
  <si>
    <t>LR0712</t>
  </si>
  <si>
    <t>LR0713</t>
  </si>
  <si>
    <t>LR0714</t>
  </si>
  <si>
    <t>LR0715</t>
  </si>
  <si>
    <t>LR0716</t>
  </si>
  <si>
    <t>LR0717</t>
  </si>
  <si>
    <t>LR0801</t>
  </si>
  <si>
    <t>LR0802</t>
  </si>
  <si>
    <t>LR0803</t>
  </si>
  <si>
    <t>LR0804</t>
  </si>
  <si>
    <t>LR0805</t>
  </si>
  <si>
    <t>LR0806</t>
  </si>
  <si>
    <t>LR0807</t>
  </si>
  <si>
    <t>LR0808</t>
  </si>
  <si>
    <t>LR0809</t>
  </si>
  <si>
    <t>LR0810</t>
  </si>
  <si>
    <t>LR0811</t>
  </si>
  <si>
    <t>LR0812</t>
  </si>
  <si>
    <t>LR0813</t>
  </si>
  <si>
    <t>LR0814</t>
  </si>
  <si>
    <t>LR0815</t>
  </si>
  <si>
    <t>LR0816</t>
  </si>
  <si>
    <t>LR0817</t>
  </si>
  <si>
    <t>LR0901</t>
  </si>
  <si>
    <t>LR0902</t>
  </si>
  <si>
    <t>LR0903</t>
  </si>
  <si>
    <t>LR0904</t>
  </si>
  <si>
    <t>LR0905</t>
  </si>
  <si>
    <t>LR0906</t>
  </si>
  <si>
    <t>LR0907</t>
  </si>
  <si>
    <t>LR0908</t>
  </si>
  <si>
    <t>LR0909</t>
  </si>
  <si>
    <t>LR0910</t>
  </si>
  <si>
    <t>LR0911</t>
  </si>
  <si>
    <t>LR0912</t>
  </si>
  <si>
    <t>LR0913</t>
  </si>
  <si>
    <t>LR0914</t>
  </si>
  <si>
    <t>LR0915</t>
  </si>
  <si>
    <t>LR0916</t>
  </si>
  <si>
    <t>LR0917</t>
  </si>
  <si>
    <t>LR1001</t>
  </si>
  <si>
    <t>LR1002</t>
  </si>
  <si>
    <t>LR1003</t>
  </si>
  <si>
    <t>LR1004</t>
  </si>
  <si>
    <t>LR1005</t>
  </si>
  <si>
    <t>LR1006</t>
  </si>
  <si>
    <t>LR1007</t>
  </si>
  <si>
    <t>LR1008</t>
  </si>
  <si>
    <t>LR1009</t>
  </si>
  <si>
    <t>LR1010</t>
  </si>
  <si>
    <t>LR1011</t>
  </si>
  <si>
    <t>LR1012</t>
  </si>
  <si>
    <t>LR1013</t>
  </si>
  <si>
    <t>LR1014</t>
  </si>
  <si>
    <t>LR1015</t>
  </si>
  <si>
    <t>LR1016</t>
  </si>
  <si>
    <t>LR1017</t>
  </si>
  <si>
    <t>LR1101</t>
  </si>
  <si>
    <t>LR1102</t>
  </si>
  <si>
    <t>LR1103</t>
  </si>
  <si>
    <t>LR1104</t>
  </si>
  <si>
    <t>LR1105</t>
  </si>
  <si>
    <t>LR1106</t>
  </si>
  <si>
    <t>LR1107</t>
  </si>
  <si>
    <t>LR1108</t>
  </si>
  <si>
    <t>LR1109</t>
  </si>
  <si>
    <t>LR1110</t>
  </si>
  <si>
    <t>LR1111</t>
  </si>
  <si>
    <t>LR1112</t>
  </si>
  <si>
    <t>LR1113</t>
  </si>
  <si>
    <t>LR1114</t>
  </si>
  <si>
    <t>LR1115</t>
  </si>
  <si>
    <t>LR1116</t>
  </si>
  <si>
    <t>LR1117</t>
  </si>
  <si>
    <t>LR1201</t>
  </si>
  <si>
    <t>LR1202</t>
  </si>
  <si>
    <t>LR1203</t>
  </si>
  <si>
    <t>LR1204</t>
  </si>
  <si>
    <t>LR1205</t>
  </si>
  <si>
    <t>LR1206</t>
  </si>
  <si>
    <t>LR1207</t>
  </si>
  <si>
    <t>LR1208</t>
  </si>
  <si>
    <t>LR1209</t>
  </si>
  <si>
    <t>LR1210</t>
  </si>
  <si>
    <t>LR1211</t>
  </si>
  <si>
    <t>LR1212</t>
  </si>
  <si>
    <t>LR1213</t>
  </si>
  <si>
    <t>LR1214</t>
  </si>
  <si>
    <t>LR1215</t>
  </si>
  <si>
    <t>LR1216</t>
  </si>
  <si>
    <t>LR1217</t>
  </si>
  <si>
    <t>LR2105</t>
  </si>
  <si>
    <t>LR2206</t>
  </si>
  <si>
    <t>BFCT</t>
  </si>
  <si>
    <t>BRCT</t>
  </si>
  <si>
    <t>DMCT</t>
  </si>
  <si>
    <t>IPCT</t>
  </si>
  <si>
    <t>KMCT</t>
  </si>
  <si>
    <t>LRCT</t>
  </si>
  <si>
    <t>NECT</t>
  </si>
  <si>
    <t>RDCT</t>
  </si>
  <si>
    <t>SCCT</t>
  </si>
  <si>
    <t>SECT</t>
  </si>
  <si>
    <t>SKCT</t>
  </si>
  <si>
    <t>SNCT</t>
  </si>
  <si>
    <t>SRCT</t>
  </si>
  <si>
    <t>SA01</t>
  </si>
  <si>
    <t>SA02</t>
  </si>
  <si>
    <t>SA03</t>
  </si>
  <si>
    <t>SA04</t>
  </si>
  <si>
    <t>SA05</t>
  </si>
  <si>
    <t>SA06</t>
  </si>
  <si>
    <t>SA07</t>
  </si>
  <si>
    <t>SA08</t>
  </si>
  <si>
    <t>SA09</t>
  </si>
  <si>
    <t>SA10</t>
  </si>
  <si>
    <t>SA11</t>
  </si>
  <si>
    <t>SA12</t>
  </si>
  <si>
    <t>SA13</t>
  </si>
  <si>
    <t>SA14</t>
  </si>
  <si>
    <t>SA15</t>
  </si>
  <si>
    <t>SA16</t>
  </si>
  <si>
    <t>SA17</t>
  </si>
  <si>
    <t>SA18</t>
  </si>
  <si>
    <t>SA19</t>
  </si>
  <si>
    <t>SA20</t>
  </si>
  <si>
    <t>SA21</t>
  </si>
  <si>
    <t>SA22</t>
  </si>
  <si>
    <t>SA23</t>
  </si>
  <si>
    <t>SA25</t>
  </si>
  <si>
    <t>SA26</t>
  </si>
  <si>
    <t>SA27</t>
  </si>
  <si>
    <t>SA30</t>
  </si>
  <si>
    <t>SA31</t>
  </si>
  <si>
    <t>SA32</t>
  </si>
  <si>
    <t>SA33</t>
  </si>
  <si>
    <t>SA34</t>
  </si>
  <si>
    <t>SA35</t>
  </si>
  <si>
    <t>SA36</t>
  </si>
  <si>
    <t>SA37</t>
  </si>
  <si>
    <t>SA38</t>
  </si>
  <si>
    <t>SA39</t>
  </si>
  <si>
    <t>SA40</t>
  </si>
  <si>
    <t>SA41</t>
  </si>
  <si>
    <t>SA42</t>
  </si>
  <si>
    <t>SA43</t>
  </si>
  <si>
    <t>SA44</t>
  </si>
  <si>
    <t>SA45</t>
  </si>
  <si>
    <t>SA46</t>
  </si>
  <si>
    <t>SA47</t>
  </si>
  <si>
    <t>SA48</t>
  </si>
  <si>
    <t>SA49</t>
  </si>
  <si>
    <t>SA50</t>
  </si>
  <si>
    <t>SA51</t>
  </si>
  <si>
    <t>SA52</t>
  </si>
  <si>
    <t>SA53</t>
  </si>
  <si>
    <t>SA54</t>
  </si>
  <si>
    <t>SA55</t>
  </si>
  <si>
    <t>SA56</t>
  </si>
  <si>
    <t>SA57</t>
  </si>
  <si>
    <t>SA58</t>
  </si>
  <si>
    <t>SA59</t>
  </si>
  <si>
    <t>SA60</t>
  </si>
  <si>
    <t>SA61</t>
  </si>
  <si>
    <t>SA62</t>
  </si>
  <si>
    <t>BRNE</t>
  </si>
  <si>
    <t>BRNW</t>
  </si>
  <si>
    <t>BRSE</t>
  </si>
  <si>
    <t>BRSW</t>
  </si>
  <si>
    <t>MDNE</t>
  </si>
  <si>
    <t>MDNW</t>
  </si>
  <si>
    <t>MDSE</t>
  </si>
  <si>
    <t>MDSW</t>
  </si>
  <si>
    <t>Bardeen</t>
  </si>
  <si>
    <t>Bell</t>
  </si>
  <si>
    <t>Curie</t>
  </si>
  <si>
    <t>Dirac</t>
  </si>
  <si>
    <t>Einstein</t>
  </si>
  <si>
    <t>Feynman</t>
  </si>
  <si>
    <t>Meitner</t>
  </si>
  <si>
    <t>Newton</t>
  </si>
  <si>
    <t>Noether</t>
  </si>
  <si>
    <t>Rossi</t>
  </si>
  <si>
    <t>Rubin</t>
  </si>
  <si>
    <t>Rutherford</t>
  </si>
  <si>
    <t>Wu</t>
  </si>
  <si>
    <t>Yukawa</t>
  </si>
  <si>
    <t>TANK0</t>
  </si>
  <si>
    <t>TANK1</t>
  </si>
  <si>
    <t>TANK2</t>
  </si>
  <si>
    <t>TANK3</t>
  </si>
  <si>
    <t>TANK4</t>
  </si>
  <si>
    <t>TANK5</t>
  </si>
  <si>
    <t>TANK6</t>
  </si>
  <si>
    <t>BRFD</t>
  </si>
  <si>
    <t>LRFD</t>
  </si>
  <si>
    <t>MDFD</t>
  </si>
  <si>
    <t>TSFD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</si>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</sst>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"/>
    <numFmt numFmtId="165" formatCode="0.000"/>
  </numFmts>
  <fonts count="9">
    <font>
      <sz val="10.0"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/>
    <font>
      <color rgb="FF222222"/>
      <name val="Arial"/>
    </font>
    <font>
      <b/>
      <sz val="11.0"/>
      <color theme="1"/>
      <name val="Calibri"/>
    </font>
    <font>
      <color rgb="FF232629"/>
      <name val="Ui-monospace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3E6E8"/>
        <bgColor rgb="FFE3E6E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2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left"/>
    </xf>
    <xf borderId="0" fillId="0" fontId="3" numFmtId="164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0" fillId="0" fontId="4" numFmtId="2" xfId="0" applyAlignment="1" applyFont="1" applyNumberFormat="1">
      <alignment horizontal="center" readingOrder="0" vertical="bottom"/>
    </xf>
    <xf borderId="0" fillId="0" fontId="2" numFmtId="2" xfId="0" applyAlignment="1" applyFont="1" applyNumberFormat="1">
      <alignment horizontal="center" readingOrder="0"/>
    </xf>
    <xf borderId="0" fillId="0" fontId="3" numFmtId="2" xfId="0" applyAlignment="1" applyFont="1" applyNumberFormat="1">
      <alignment horizontal="center" readingOrder="0" vertical="bottom"/>
    </xf>
    <xf borderId="0" fillId="0" fontId="4" numFmtId="2" xfId="0" applyAlignment="1" applyFont="1" applyNumberFormat="1">
      <alignment horizontal="center" vertical="bottom"/>
    </xf>
    <xf borderId="0" fillId="0" fontId="2" numFmtId="2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1" fillId="0" fontId="1" numFmtId="2" xfId="0" applyAlignment="1" applyBorder="1" applyFont="1" applyNumberFormat="1">
      <alignment horizontal="center" readingOrder="0" vertical="center"/>
    </xf>
    <xf borderId="2" fillId="0" fontId="1" numFmtId="2" xfId="0" applyAlignment="1" applyBorder="1" applyFont="1" applyNumberFormat="1">
      <alignment horizontal="center" readingOrder="0"/>
    </xf>
    <xf borderId="2" fillId="0" fontId="2" numFmtId="2" xfId="0" applyAlignment="1" applyBorder="1" applyFont="1" applyNumberFormat="1">
      <alignment horizontal="center"/>
    </xf>
    <xf borderId="3" fillId="0" fontId="5" numFmtId="0" xfId="0" applyBorder="1" applyFont="1"/>
    <xf borderId="4" fillId="0" fontId="5" numFmtId="0" xfId="0" applyBorder="1" applyFont="1"/>
    <xf borderId="0" fillId="0" fontId="2" numFmtId="0" xfId="0" applyAlignment="1" applyFont="1">
      <alignment horizontal="center" readingOrder="0"/>
    </xf>
    <xf borderId="0" fillId="2" fontId="6" numFmtId="165" xfId="0" applyAlignment="1" applyFill="1" applyFont="1" applyNumberFormat="1">
      <alignment horizontal="center" readingOrder="0"/>
    </xf>
    <xf borderId="0" fillId="2" fontId="6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/>
    </xf>
    <xf borderId="0" fillId="0" fontId="3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 vertical="bottom"/>
    </xf>
    <xf borderId="0" fillId="0" fontId="3" numFmtId="164" xfId="0" applyAlignment="1" applyFont="1" applyNumberFormat="1">
      <alignment horizontal="center" vertical="bottom"/>
    </xf>
    <xf borderId="0" fillId="0" fontId="3" numFmtId="2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/>
    </xf>
    <xf borderId="0" fillId="0" fontId="2" numFmtId="2" xfId="0" applyFont="1" applyNumberFormat="1"/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7" numFmtId="164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4" numFmtId="2" xfId="0" applyFont="1" applyNumberFormat="1"/>
    <xf borderId="0" fillId="0" fontId="2" numFmtId="164" xfId="0" applyFont="1" applyNumberFormat="1"/>
    <xf borderId="0" fillId="0" fontId="4" numFmtId="164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3" fontId="8" numFmtId="0" xfId="0" applyAlignment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0</xdr:colOff>
      <xdr:row>10</xdr:row>
      <xdr:rowOff>0</xdr:rowOff>
    </xdr:from>
    <xdr:ext cx="2667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11.71"/>
    <col customWidth="1" min="2" max="2" width="19.0"/>
    <col customWidth="1" min="3" max="3" width="20.14"/>
    <col customWidth="1" min="4" max="7" width="8.0"/>
    <col customWidth="1" min="8" max="8" width="9.86"/>
    <col customWidth="1" min="9" max="9" width="11.86"/>
    <col customWidth="1" min="10" max="10" width="8.57"/>
    <col customWidth="1" min="11" max="13" width="9.14"/>
    <col customWidth="1" min="14" max="14" width="10.43"/>
    <col customWidth="1" min="15" max="15" width="9.86"/>
    <col customWidth="1" min="16" max="17" width="8.29"/>
    <col customWidth="1" min="18" max="18" width="6.86"/>
    <col customWidth="1" min="19" max="19" width="6.57"/>
    <col customWidth="1" min="20" max="20" width="8.0"/>
    <col customWidth="1" min="21" max="21" width="6.29"/>
    <col customWidth="1" min="22" max="22" width="6.86"/>
    <col customWidth="1" min="23" max="23" width="5.0"/>
    <col customWidth="1" min="27" max="27" width="11.57"/>
    <col customWidth="1" min="28" max="28" width="10.86"/>
    <col customWidth="1" min="29" max="29" width="11.0"/>
  </cols>
  <sheetData>
    <row r="1">
      <c r="A1" s="1"/>
      <c r="B1" s="1"/>
      <c r="C1" s="1"/>
      <c r="D1" s="1"/>
      <c r="E1" s="1"/>
      <c r="F1" s="1"/>
      <c r="G1" s="1" t="s">
        <v>0</v>
      </c>
      <c r="K1" s="2" t="s">
        <v>1</v>
      </c>
      <c r="N1" s="2" t="s">
        <v>2</v>
      </c>
      <c r="Q1" s="2" t="s">
        <v>3</v>
      </c>
      <c r="U1" s="2" t="s">
        <v>4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/>
      <c r="B2" s="1"/>
      <c r="C2" s="1"/>
      <c r="D2" s="1"/>
      <c r="E2" s="1"/>
      <c r="F2" s="1" t="s">
        <v>5</v>
      </c>
      <c r="G2" s="1" t="s">
        <v>6</v>
      </c>
      <c r="H2" s="4" t="s">
        <v>7</v>
      </c>
      <c r="I2" s="4" t="s">
        <v>8</v>
      </c>
      <c r="J2" s="1" t="s">
        <v>9</v>
      </c>
      <c r="K2" s="2" t="s">
        <v>10</v>
      </c>
      <c r="L2" s="2" t="s">
        <v>11</v>
      </c>
      <c r="M2" s="2" t="s">
        <v>12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2" t="s">
        <v>16</v>
      </c>
      <c r="U2" s="1" t="s">
        <v>17</v>
      </c>
      <c r="V2" s="2" t="s">
        <v>18</v>
      </c>
      <c r="W2" s="1" t="s">
        <v>19</v>
      </c>
      <c r="X2" s="1" t="s">
        <v>20</v>
      </c>
      <c r="Y2" s="1" t="s">
        <v>21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5" t="str">
        <f t="array" ref="A3">LOOKUP(1,1/FREQUENCY(0,MMULT((TA_AllSites_20220124!$A$2:$B$1397-$H3:$I3)^2,{1;1})),TA_AllSites_20220124!$C$2:$C$1397)</f>
        <v>#N/A</v>
      </c>
      <c r="B3" s="6">
        <f t="array" ref="B3">LOOKUP(1,1/FREQUENCY(0,SIN((RADIANS(TA_AllSites_20220124!$A$2:$A$1397-$H3))/2)^2+SIN((RADIANS(TA_AllSites_20220124!$B$2:$B$1397-$I3))/2)^2*COS(RADIANS(TA_AllSites_20220124!$A$2:$A$1397))*COS(RADIANS($H3))),TA_AllSites_20220124!$A$2:$A$1397)</f>
        <v>39.29693</v>
      </c>
      <c r="C3" s="6">
        <f t="array" ref="C3">LOOKUP(1,1/FREQUENCY(0,SIN((RADIANS(TA_AllSites_20220124!$A$2:$A$1397-$H3))/2)^2+SIN((RADIANS(TA_AllSites_20220124!$B$2:$B$1397-$I3))/2)^2*COS(RADIANS(TA_AllSites_20220124!$A$2:$A$1397))*COS(RADIANS($H3))),TA_AllSites_20220124!$B$2:$B$1397)</f>
        <v>-112.90875</v>
      </c>
      <c r="D3" s="7"/>
      <c r="E3" s="7"/>
      <c r="F3" s="7" t="s">
        <v>22</v>
      </c>
      <c r="G3" s="8">
        <v>106.0</v>
      </c>
      <c r="H3" s="9">
        <v>39.1840322222</v>
      </c>
      <c r="I3" s="9">
        <v>-113.065815</v>
      </c>
      <c r="J3" s="10">
        <v>1513.52</v>
      </c>
      <c r="K3" s="11">
        <v>-13575.37</v>
      </c>
      <c r="L3" s="11">
        <v>-12523.793</v>
      </c>
      <c r="M3" s="11">
        <v>116.724</v>
      </c>
      <c r="N3" s="11">
        <v>-13575.363</v>
      </c>
      <c r="O3" s="11">
        <v>-12523.787</v>
      </c>
      <c r="P3" s="11">
        <v>113.614</v>
      </c>
      <c r="Q3" s="11">
        <v>1529.48</v>
      </c>
      <c r="R3" s="11">
        <v>-20.072</v>
      </c>
      <c r="S3" s="12">
        <v>0.89</v>
      </c>
      <c r="T3" s="13">
        <f t="shared" ref="T3:T521" si="1">Q3+R3+S3</f>
        <v>1510.298</v>
      </c>
      <c r="U3" s="14">
        <f t="shared" ref="U3:U838" si="2">$J3-$T3</f>
        <v>3.222</v>
      </c>
      <c r="V3" s="14">
        <f t="shared" ref="V3:V838" si="3">($U3-$AC$4)/$AC$7</f>
        <v>-1.672885781</v>
      </c>
      <c r="W3" s="15" t="str">
        <f t="shared" ref="W3:W838" si="4">if(abs($V3)&gt;3,"✔","")</f>
        <v/>
      </c>
      <c r="X3" s="11">
        <f t="shared" ref="X3:X838" si="5">$J3-$AC$4</f>
        <v>1508.968</v>
      </c>
      <c r="Y3" s="14">
        <f t="shared" ref="Y3:Y838" si="6">T3-X3</f>
        <v>1.33</v>
      </c>
      <c r="AA3" s="16" t="s">
        <v>23</v>
      </c>
      <c r="AB3" s="17" t="s">
        <v>24</v>
      </c>
      <c r="AC3" s="18">
        <f>quartile($U$3:$U$838,1)</f>
        <v>3.999</v>
      </c>
      <c r="AD3" s="15"/>
      <c r="AE3" s="16" t="s">
        <v>23</v>
      </c>
      <c r="AF3" s="17" t="s">
        <v>24</v>
      </c>
      <c r="AG3" s="18">
        <f>quartile($Y$3:$Y$838,1)</f>
        <v>-0.5195</v>
      </c>
      <c r="AH3" s="15"/>
      <c r="AI3" s="15"/>
      <c r="AJ3" s="15"/>
      <c r="AK3" s="15"/>
      <c r="AL3" s="15"/>
      <c r="AM3" s="15"/>
      <c r="AN3" s="15"/>
    </row>
    <row r="4">
      <c r="A4" s="7" t="str">
        <f t="array" ref="A4">LOOKUP(1,1/FREQUENCY(0,SIN((RADIANS(TA_AllSites_20220124!$A$2:$A$1397-$H4))/2)^2+SIN((RADIANS(TA_AllSites_20220124!$B$2:$B$1397-$I4))/2)^2*COS(RADIANS(TA_AllSites_20220124!$A$2:$A$1397))*COS(RADIANS($H4))),TA_AllSites_20220124!$C$2:$C$1397)</f>
        <v>CLF</v>
      </c>
      <c r="B4" s="6">
        <f t="array" ref="B4">LOOKUP(1,1/FREQUENCY(0,SIN((RADIANS(TA_AllSites_20220124!$A$2:$A$1397-$H4))/2)^2+SIN((RADIANS(TA_AllSites_20220124!$B$2:$B$1397-$I4))/2)^2*COS(RADIANS(TA_AllSites_20220124!$A$2:$A$1397))*COS(RADIANS($H4))),TA_AllSites_20220124!$A$2:$A$1397)</f>
        <v>39.29693</v>
      </c>
      <c r="C4" s="6">
        <f t="array" ref="C4">LOOKUP(1,1/FREQUENCY(0,SIN((RADIANS(TA_AllSites_20220124!$A$2:$A$1397-$H4))/2)^2+SIN((RADIANS(TA_AllSites_20220124!$B$2:$B$1397-$I4))/2)^2*COS(RADIANS(TA_AllSites_20220124!$A$2:$A$1397))*COS(RADIANS($H4))),TA_AllSites_20220124!$B$2:$B$1397)</f>
        <v>-112.90875</v>
      </c>
      <c r="D4" s="7"/>
      <c r="E4" s="7"/>
      <c r="F4" s="7" t="s">
        <v>22</v>
      </c>
      <c r="G4" s="8">
        <v>107.0</v>
      </c>
      <c r="H4" s="9">
        <v>39.1950069444</v>
      </c>
      <c r="I4" s="9">
        <v>-113.065213333</v>
      </c>
      <c r="J4" s="10">
        <v>1496.78</v>
      </c>
      <c r="K4" s="11">
        <v>-13521.205</v>
      </c>
      <c r="L4" s="11">
        <v>-11305.133</v>
      </c>
      <c r="M4" s="11">
        <v>102.381</v>
      </c>
      <c r="N4" s="11">
        <v>-13521.195</v>
      </c>
      <c r="O4" s="11">
        <v>-11305.125</v>
      </c>
      <c r="P4" s="11">
        <v>97.831</v>
      </c>
      <c r="Q4" s="11">
        <v>1511.28</v>
      </c>
      <c r="R4" s="11">
        <v>-20.055</v>
      </c>
      <c r="S4" s="12">
        <v>0.89</v>
      </c>
      <c r="T4" s="13">
        <f t="shared" si="1"/>
        <v>1492.115</v>
      </c>
      <c r="U4" s="14">
        <f t="shared" si="2"/>
        <v>4.665</v>
      </c>
      <c r="V4" s="14">
        <f t="shared" si="3"/>
        <v>0.1421324009</v>
      </c>
      <c r="W4" s="15" t="str">
        <f t="shared" si="4"/>
        <v/>
      </c>
      <c r="X4" s="11">
        <f t="shared" si="5"/>
        <v>1492.228</v>
      </c>
      <c r="Y4" s="14">
        <f t="shared" si="6"/>
        <v>-0.113</v>
      </c>
      <c r="Z4" s="15"/>
      <c r="AA4" s="19"/>
      <c r="AB4" s="17" t="s">
        <v>25</v>
      </c>
      <c r="AC4" s="18">
        <f>quartile($U$3:$U$838,2)</f>
        <v>4.552</v>
      </c>
      <c r="AD4" s="15"/>
      <c r="AE4" s="19"/>
      <c r="AF4" s="17" t="s">
        <v>25</v>
      </c>
      <c r="AG4" s="18">
        <f>quartile($Y$3:$Y$838,2)</f>
        <v>0</v>
      </c>
      <c r="AH4" s="15"/>
      <c r="AI4" s="15"/>
      <c r="AJ4" s="15"/>
      <c r="AK4" s="15"/>
      <c r="AL4" s="15"/>
      <c r="AM4" s="15"/>
      <c r="AN4" s="15"/>
    </row>
    <row r="5">
      <c r="A5" s="7" t="str">
        <f t="array" ref="A5">LOOKUP(1,1/FREQUENCY(0,SIN((RADIANS(TA_AllSites_20220124!$A$2:$A$1397-$H5))/2)^2+SIN((RADIANS(TA_AllSites_20220124!$B$2:$B$1397-$I5))/2)^2*COS(RADIANS(TA_AllSites_20220124!$A$2:$A$1397))*COS(RADIANS($H5))),TA_AllSites_20220124!$C$2:$C$1397)</f>
        <v>CLF</v>
      </c>
      <c r="B5" s="6">
        <f t="array" ref="B5">LOOKUP(1,1/FREQUENCY(0,SIN((RADIANS(TA_AllSites_20220124!$A$2:$A$1397-$H5))/2)^2+SIN((RADIANS(TA_AllSites_20220124!$B$2:$B$1397-$I5))/2)^2*COS(RADIANS(TA_AllSites_20220124!$A$2:$A$1397))*COS(RADIANS($H5))),TA_AllSites_20220124!$A$2:$A$1397)</f>
        <v>39.29693</v>
      </c>
      <c r="C5" s="6">
        <f t="array" ref="C5">LOOKUP(1,1/FREQUENCY(0,SIN((RADIANS(TA_AllSites_20220124!$A$2:$A$1397-$H5))/2)^2+SIN((RADIANS(TA_AllSites_20220124!$B$2:$B$1397-$I5))/2)^2*COS(RADIANS(TA_AllSites_20220124!$A$2:$A$1397))*COS(RADIANS($H5))),TA_AllSites_20220124!$B$2:$B$1397)</f>
        <v>-112.90875</v>
      </c>
      <c r="D5" s="7"/>
      <c r="E5" s="7"/>
      <c r="F5" s="7" t="s">
        <v>22</v>
      </c>
      <c r="G5" s="8">
        <v>108.0</v>
      </c>
      <c r="H5" s="9">
        <v>39.20562</v>
      </c>
      <c r="I5" s="9">
        <v>-113.064963056</v>
      </c>
      <c r="J5" s="10">
        <v>1487.35</v>
      </c>
      <c r="K5" s="11">
        <v>-13497.552</v>
      </c>
      <c r="L5" s="11">
        <v>-10126.633</v>
      </c>
      <c r="M5" s="11">
        <v>94.986</v>
      </c>
      <c r="N5" s="11">
        <v>-13497.543</v>
      </c>
      <c r="O5" s="11">
        <v>-10126.627</v>
      </c>
      <c r="P5" s="11">
        <v>90.686</v>
      </c>
      <c r="Q5" s="11">
        <v>1502.09</v>
      </c>
      <c r="R5" s="11">
        <v>-20.04</v>
      </c>
      <c r="S5" s="12">
        <v>0.89</v>
      </c>
      <c r="T5" s="13">
        <f t="shared" si="1"/>
        <v>1482.94</v>
      </c>
      <c r="U5" s="14">
        <f t="shared" si="2"/>
        <v>4.41</v>
      </c>
      <c r="V5" s="14">
        <f t="shared" si="3"/>
        <v>-0.1786088578</v>
      </c>
      <c r="W5" s="15" t="str">
        <f t="shared" si="4"/>
        <v/>
      </c>
      <c r="X5" s="11">
        <f t="shared" si="5"/>
        <v>1482.798</v>
      </c>
      <c r="Y5" s="14">
        <f t="shared" si="6"/>
        <v>0.142</v>
      </c>
      <c r="Z5" s="15"/>
      <c r="AA5" s="19"/>
      <c r="AB5" s="17" t="s">
        <v>26</v>
      </c>
      <c r="AC5" s="18">
        <f>quartile($U$3:$U$838,3)</f>
        <v>5.0715</v>
      </c>
      <c r="AD5" s="15"/>
      <c r="AE5" s="19"/>
      <c r="AF5" s="17" t="s">
        <v>26</v>
      </c>
      <c r="AG5" s="18">
        <f>quartile($Y$3:$Y$838,3)</f>
        <v>0.553</v>
      </c>
      <c r="AH5" s="15"/>
      <c r="AI5" s="15"/>
      <c r="AJ5" s="15"/>
      <c r="AK5" s="15"/>
      <c r="AL5" s="15"/>
      <c r="AM5" s="15"/>
      <c r="AN5" s="15"/>
    </row>
    <row r="6">
      <c r="A6" s="7" t="str">
        <f t="array" ref="A6">LOOKUP(1,1/FREQUENCY(0,SIN((RADIANS(TA_AllSites_20220124!$A$2:$A$1397-$H6))/2)^2+SIN((RADIANS(TA_AllSites_20220124!$B$2:$B$1397-$I6))/2)^2*COS(RADIANS(TA_AllSites_20220124!$A$2:$A$1397))*COS(RADIANS($H6))),TA_AllSites_20220124!$C$2:$C$1397)</f>
        <v>CLF</v>
      </c>
      <c r="B6" s="6">
        <f t="array" ref="B6">LOOKUP(1,1/FREQUENCY(0,SIN((RADIANS(TA_AllSites_20220124!$A$2:$A$1397-$H6))/2)^2+SIN((RADIANS(TA_AllSites_20220124!$B$2:$B$1397-$I6))/2)^2*COS(RADIANS(TA_AllSites_20220124!$A$2:$A$1397))*COS(RADIANS($H6))),TA_AllSites_20220124!$A$2:$A$1397)</f>
        <v>39.29693</v>
      </c>
      <c r="C6" s="6">
        <f t="array" ref="C6">LOOKUP(1,1/FREQUENCY(0,SIN((RADIANS(TA_AllSites_20220124!$A$2:$A$1397-$H6))/2)^2+SIN((RADIANS(TA_AllSites_20220124!$B$2:$B$1397-$I6))/2)^2*COS(RADIANS(TA_AllSites_20220124!$A$2:$A$1397))*COS(RADIANS($H6))),TA_AllSites_20220124!$B$2:$B$1397)</f>
        <v>-112.90875</v>
      </c>
      <c r="D6" s="7"/>
      <c r="E6" s="7"/>
      <c r="F6" s="7" t="s">
        <v>22</v>
      </c>
      <c r="G6" s="8">
        <v>109.0</v>
      </c>
      <c r="H6" s="9">
        <v>39.2165666667</v>
      </c>
      <c r="I6" s="9">
        <v>-113.065115</v>
      </c>
      <c r="J6" s="10">
        <v>1489.69</v>
      </c>
      <c r="K6" s="11">
        <v>-13508.592</v>
      </c>
      <c r="L6" s="11">
        <v>-8911.002</v>
      </c>
      <c r="M6" s="11">
        <v>99.121</v>
      </c>
      <c r="N6" s="11">
        <v>-13508.582</v>
      </c>
      <c r="O6" s="11">
        <v>-8910.996</v>
      </c>
      <c r="P6" s="11">
        <v>94.721</v>
      </c>
      <c r="Q6" s="11">
        <v>1504.31</v>
      </c>
      <c r="R6" s="11">
        <v>-20.024</v>
      </c>
      <c r="S6" s="12">
        <v>0.89</v>
      </c>
      <c r="T6" s="13">
        <f t="shared" si="1"/>
        <v>1485.176</v>
      </c>
      <c r="U6" s="14">
        <f t="shared" si="2"/>
        <v>4.514</v>
      </c>
      <c r="V6" s="14">
        <f t="shared" si="3"/>
        <v>-0.0477967366</v>
      </c>
      <c r="W6" s="15" t="str">
        <f t="shared" si="4"/>
        <v/>
      </c>
      <c r="X6" s="11">
        <f t="shared" si="5"/>
        <v>1485.138</v>
      </c>
      <c r="Y6" s="14">
        <f t="shared" si="6"/>
        <v>0.038</v>
      </c>
      <c r="Z6" s="15"/>
      <c r="AA6" s="19"/>
      <c r="AB6" s="17" t="s">
        <v>27</v>
      </c>
      <c r="AC6" s="18">
        <f>(AC5-AC3)</f>
        <v>1.0725</v>
      </c>
      <c r="AD6" s="15"/>
      <c r="AE6" s="19"/>
      <c r="AF6" s="17" t="s">
        <v>27</v>
      </c>
      <c r="AG6" s="18">
        <f>(AG5-AG3)</f>
        <v>1.0725</v>
      </c>
      <c r="AH6" s="15"/>
      <c r="AI6" s="15"/>
      <c r="AJ6" s="15"/>
      <c r="AK6" s="15"/>
      <c r="AL6" s="15"/>
      <c r="AM6" s="15"/>
      <c r="AN6" s="15"/>
    </row>
    <row r="7">
      <c r="A7" s="7" t="str">
        <f t="array" ref="A7">LOOKUP(1,1/FREQUENCY(0,SIN((RADIANS(TA_AllSites_20220124!$A$2:$A$1397-$H7))/2)^2+SIN((RADIANS(TA_AllSites_20220124!$B$2:$B$1397-$I7))/2)^2*COS(RADIANS(TA_AllSites_20220124!$A$2:$A$1397))*COS(RADIANS($H7))),TA_AllSites_20220124!$C$2:$C$1397)</f>
        <v>CLF</v>
      </c>
      <c r="B7" s="6">
        <f t="array" ref="B7">LOOKUP(1,1/FREQUENCY(0,SIN((RADIANS(TA_AllSites_20220124!$A$2:$A$1397-$H7))/2)^2+SIN((RADIANS(TA_AllSites_20220124!$B$2:$B$1397-$I7))/2)^2*COS(RADIANS(TA_AllSites_20220124!$A$2:$A$1397))*COS(RADIANS($H7))),TA_AllSites_20220124!$A$2:$A$1397)</f>
        <v>39.29693</v>
      </c>
      <c r="C7" s="6">
        <f t="array" ref="C7">LOOKUP(1,1/FREQUENCY(0,SIN((RADIANS(TA_AllSites_20220124!$A$2:$A$1397-$H7))/2)^2+SIN((RADIANS(TA_AllSites_20220124!$B$2:$B$1397-$I7))/2)^2*COS(RADIANS(TA_AllSites_20220124!$A$2:$A$1397))*COS(RADIANS($H7))),TA_AllSites_20220124!$B$2:$B$1397)</f>
        <v>-112.90875</v>
      </c>
      <c r="D7" s="7"/>
      <c r="E7" s="7"/>
      <c r="F7" s="7" t="s">
        <v>22</v>
      </c>
      <c r="G7" s="8">
        <v>110.0</v>
      </c>
      <c r="H7" s="9">
        <v>39.2276155556</v>
      </c>
      <c r="I7" s="9">
        <v>-113.065338611</v>
      </c>
      <c r="J7" s="10">
        <v>1489.63</v>
      </c>
      <c r="K7" s="11">
        <v>-13525.82</v>
      </c>
      <c r="L7" s="11">
        <v>-7684.028</v>
      </c>
      <c r="M7" s="11">
        <v>100.625</v>
      </c>
      <c r="N7" s="11">
        <v>-13525.811</v>
      </c>
      <c r="O7" s="11">
        <v>-7684.022</v>
      </c>
      <c r="P7" s="11">
        <v>96.355</v>
      </c>
      <c r="Q7" s="11">
        <v>1504.37</v>
      </c>
      <c r="R7" s="11">
        <v>-20.01</v>
      </c>
      <c r="S7" s="12">
        <v>0.89</v>
      </c>
      <c r="T7" s="13">
        <f t="shared" si="1"/>
        <v>1485.25</v>
      </c>
      <c r="U7" s="14">
        <f t="shared" si="2"/>
        <v>4.38</v>
      </c>
      <c r="V7" s="14">
        <f t="shared" si="3"/>
        <v>-0.2163431235</v>
      </c>
      <c r="W7" s="15" t="str">
        <f t="shared" si="4"/>
        <v/>
      </c>
      <c r="X7" s="11">
        <f t="shared" si="5"/>
        <v>1485.078</v>
      </c>
      <c r="Y7" s="14">
        <f t="shared" si="6"/>
        <v>0.172</v>
      </c>
      <c r="Z7" s="15"/>
      <c r="AA7" s="19"/>
      <c r="AB7" s="17" t="s">
        <v>28</v>
      </c>
      <c r="AC7" s="18">
        <f>$AC$6/1.349</f>
        <v>0.795033358</v>
      </c>
      <c r="AD7" s="15"/>
      <c r="AE7" s="19"/>
      <c r="AF7" s="17" t="s">
        <v>28</v>
      </c>
      <c r="AG7" s="18">
        <f>$AC$6/1.349</f>
        <v>0.795033358</v>
      </c>
      <c r="AH7" s="15"/>
      <c r="AI7" s="15"/>
      <c r="AJ7" s="15"/>
      <c r="AK7" s="15"/>
      <c r="AL7" s="15"/>
      <c r="AM7" s="15"/>
      <c r="AN7" s="15"/>
    </row>
    <row r="8">
      <c r="A8" s="7" t="str">
        <f t="array" ref="A8">LOOKUP(1,1/FREQUENCY(0,SIN((RADIANS(TA_AllSites_20220124!$A$2:$A$1397-$H8))/2)^2+SIN((RADIANS(TA_AllSites_20220124!$B$2:$B$1397-$I8))/2)^2*COS(RADIANS(TA_AllSites_20220124!$A$2:$A$1397))*COS(RADIANS($H8))),TA_AllSites_20220124!$C$2:$C$1397)</f>
        <v>CLF</v>
      </c>
      <c r="B8" s="6">
        <f t="array" ref="B8">LOOKUP(1,1/FREQUENCY(0,SIN((RADIANS(TA_AllSites_20220124!$A$2:$A$1397-$H8))/2)^2+SIN((RADIANS(TA_AllSites_20220124!$B$2:$B$1397-$I8))/2)^2*COS(RADIANS(TA_AllSites_20220124!$A$2:$A$1397))*COS(RADIANS($H8))),TA_AllSites_20220124!$A$2:$A$1397)</f>
        <v>39.29693</v>
      </c>
      <c r="C8" s="6">
        <f t="array" ref="C8">LOOKUP(1,1/FREQUENCY(0,SIN((RADIANS(TA_AllSites_20220124!$A$2:$A$1397-$H8))/2)^2+SIN((RADIANS(TA_AllSites_20220124!$B$2:$B$1397-$I8))/2)^2*COS(RADIANS(TA_AllSites_20220124!$A$2:$A$1397))*COS(RADIANS($H8))),TA_AllSites_20220124!$B$2:$B$1397)</f>
        <v>-112.90875</v>
      </c>
      <c r="D8" s="7"/>
      <c r="E8" s="7"/>
      <c r="F8" s="7" t="s">
        <v>22</v>
      </c>
      <c r="G8" s="8">
        <v>111.0</v>
      </c>
      <c r="H8" s="9">
        <v>39.2382255556</v>
      </c>
      <c r="I8" s="9">
        <v>-113.064650278</v>
      </c>
      <c r="J8" s="10">
        <v>1475.45</v>
      </c>
      <c r="K8" s="11">
        <v>-13464.255</v>
      </c>
      <c r="L8" s="11">
        <v>-6505.921</v>
      </c>
      <c r="M8" s="11">
        <v>87.888</v>
      </c>
      <c r="N8" s="11">
        <v>-13464.245</v>
      </c>
      <c r="O8" s="11">
        <v>-6505.916</v>
      </c>
      <c r="P8" s="11">
        <v>83.178</v>
      </c>
      <c r="Q8" s="11">
        <v>1489.74</v>
      </c>
      <c r="R8" s="11">
        <v>-20.0</v>
      </c>
      <c r="S8" s="12">
        <v>0.89</v>
      </c>
      <c r="T8" s="13">
        <f t="shared" si="1"/>
        <v>1470.63</v>
      </c>
      <c r="U8" s="14">
        <f t="shared" si="2"/>
        <v>4.82</v>
      </c>
      <c r="V8" s="14">
        <f t="shared" si="3"/>
        <v>0.3370927739</v>
      </c>
      <c r="W8" s="15" t="str">
        <f t="shared" si="4"/>
        <v/>
      </c>
      <c r="X8" s="11">
        <f t="shared" si="5"/>
        <v>1470.898</v>
      </c>
      <c r="Y8" s="14">
        <f t="shared" si="6"/>
        <v>-0.268</v>
      </c>
      <c r="Z8" s="15"/>
      <c r="AA8" s="19"/>
      <c r="AB8" s="17" t="s">
        <v>29</v>
      </c>
      <c r="AC8" s="18">
        <f>average($U$3:$U$838)</f>
        <v>4.534005981</v>
      </c>
      <c r="AD8" s="15"/>
      <c r="AE8" s="19"/>
      <c r="AF8" s="17" t="s">
        <v>29</v>
      </c>
      <c r="AG8" s="18">
        <f>average($Y$3:$Y$838)</f>
        <v>0.01799401914</v>
      </c>
      <c r="AH8" s="15"/>
      <c r="AI8" s="15"/>
      <c r="AJ8" s="15"/>
      <c r="AK8" s="15"/>
      <c r="AL8" s="15"/>
      <c r="AM8" s="15"/>
      <c r="AN8" s="15"/>
    </row>
    <row r="9">
      <c r="A9" s="7" t="str">
        <f t="array" ref="A9">LOOKUP(1,1/FREQUENCY(0,SIN((RADIANS(TA_AllSites_20220124!$A$2:$A$1397-$H9))/2)^2+SIN((RADIANS(TA_AllSites_20220124!$B$2:$B$1397-$I9))/2)^2*COS(RADIANS(TA_AllSites_20220124!$A$2:$A$1397))*COS(RADIANS($H9))),TA_AllSites_20220124!$C$2:$C$1397)</f>
        <v>CLF</v>
      </c>
      <c r="B9" s="6">
        <f t="array" ref="B9">LOOKUP(1,1/FREQUENCY(0,SIN((RADIANS(TA_AllSites_20220124!$A$2:$A$1397-$H9))/2)^2+SIN((RADIANS(TA_AllSites_20220124!$B$2:$B$1397-$I9))/2)^2*COS(RADIANS(TA_AllSites_20220124!$A$2:$A$1397))*COS(RADIANS($H9))),TA_AllSites_20220124!$A$2:$A$1397)</f>
        <v>39.29693</v>
      </c>
      <c r="C9" s="6">
        <f t="array" ref="C9">LOOKUP(1,1/FREQUENCY(0,SIN((RADIANS(TA_AllSites_20220124!$A$2:$A$1397-$H9))/2)^2+SIN((RADIANS(TA_AllSites_20220124!$B$2:$B$1397-$I9))/2)^2*COS(RADIANS(TA_AllSites_20220124!$A$2:$A$1397))*COS(RADIANS($H9))),TA_AllSites_20220124!$B$2:$B$1397)</f>
        <v>-112.90875</v>
      </c>
      <c r="D9" s="7"/>
      <c r="E9" s="7"/>
      <c r="F9" s="7" t="s">
        <v>22</v>
      </c>
      <c r="G9" s="8">
        <v>112.0</v>
      </c>
      <c r="H9" s="9">
        <v>39.2490127778</v>
      </c>
      <c r="I9" s="9">
        <v>-113.0651175</v>
      </c>
      <c r="J9" s="10">
        <v>1460.31</v>
      </c>
      <c r="K9" s="11">
        <v>-13502.569</v>
      </c>
      <c r="L9" s="11">
        <v>-5307.989</v>
      </c>
      <c r="M9" s="11">
        <v>73.78</v>
      </c>
      <c r="N9" s="11">
        <v>-13502.559</v>
      </c>
      <c r="O9" s="11">
        <v>-5307.985</v>
      </c>
      <c r="P9" s="11">
        <v>69.18</v>
      </c>
      <c r="Q9" s="11">
        <v>1474.7</v>
      </c>
      <c r="R9" s="11">
        <v>-19.99</v>
      </c>
      <c r="S9" s="12">
        <v>0.89</v>
      </c>
      <c r="T9" s="13">
        <f t="shared" si="1"/>
        <v>1455.6</v>
      </c>
      <c r="U9" s="14">
        <f t="shared" si="2"/>
        <v>4.71</v>
      </c>
      <c r="V9" s="14">
        <f t="shared" si="3"/>
        <v>0.1987337995</v>
      </c>
      <c r="W9" s="15" t="str">
        <f t="shared" si="4"/>
        <v/>
      </c>
      <c r="X9" s="11">
        <f t="shared" si="5"/>
        <v>1455.758</v>
      </c>
      <c r="Y9" s="14">
        <f t="shared" si="6"/>
        <v>-0.158</v>
      </c>
      <c r="Z9" s="15"/>
      <c r="AA9" s="20"/>
      <c r="AB9" s="17" t="s">
        <v>30</v>
      </c>
      <c r="AC9" s="18">
        <f>stdev($U$3:$U$838)</f>
        <v>0.9305461464</v>
      </c>
      <c r="AD9" s="15"/>
      <c r="AE9" s="20"/>
      <c r="AF9" s="17" t="s">
        <v>30</v>
      </c>
      <c r="AG9" s="18">
        <f>stdev($Y$3:$Y$838)</f>
        <v>0.9305461464</v>
      </c>
      <c r="AH9" s="15"/>
      <c r="AI9" s="15"/>
      <c r="AJ9" s="15"/>
      <c r="AK9" s="15"/>
      <c r="AL9" s="15"/>
      <c r="AM9" s="15"/>
      <c r="AN9" s="15"/>
    </row>
    <row r="10">
      <c r="A10" s="7" t="str">
        <f t="array" ref="A10">LOOKUP(1,1/FREQUENCY(0,SIN((RADIANS(TA_AllSites_20220124!$A$2:$A$1397-$H10))/2)^2+SIN((RADIANS(TA_AllSites_20220124!$B$2:$B$1397-$I10))/2)^2*COS(RADIANS(TA_AllSites_20220124!$A$2:$A$1397))*COS(RADIANS($H10))),TA_AllSites_20220124!$C$2:$C$1397)</f>
        <v>CLF</v>
      </c>
      <c r="B10" s="6">
        <f t="array" ref="B10">LOOKUP(1,1/FREQUENCY(0,SIN((RADIANS(TA_AllSites_20220124!$A$2:$A$1397-$H10))/2)^2+SIN((RADIANS(TA_AllSites_20220124!$B$2:$B$1397-$I10))/2)^2*COS(RADIANS(TA_AllSites_20220124!$A$2:$A$1397))*COS(RADIANS($H10))),TA_AllSites_20220124!$A$2:$A$1397)</f>
        <v>39.29693</v>
      </c>
      <c r="C10" s="6">
        <f t="array" ref="C10">LOOKUP(1,1/FREQUENCY(0,SIN((RADIANS(TA_AllSites_20220124!$A$2:$A$1397-$H10))/2)^2+SIN((RADIANS(TA_AllSites_20220124!$B$2:$B$1397-$I10))/2)^2*COS(RADIANS(TA_AllSites_20220124!$A$2:$A$1397))*COS(RADIANS($H10))),TA_AllSites_20220124!$B$2:$B$1397)</f>
        <v>-112.90875</v>
      </c>
      <c r="D10" s="7"/>
      <c r="E10" s="7"/>
      <c r="F10" s="7" t="s">
        <v>22</v>
      </c>
      <c r="G10" s="8">
        <v>113.0</v>
      </c>
      <c r="H10" s="9">
        <v>39.2601497222</v>
      </c>
      <c r="I10" s="9">
        <v>-113.064802222</v>
      </c>
      <c r="J10" s="10">
        <v>1451.76</v>
      </c>
      <c r="K10" s="11">
        <v>-13473.135</v>
      </c>
      <c r="L10" s="11">
        <v>-4071.315</v>
      </c>
      <c r="M10" s="11">
        <v>66.203</v>
      </c>
      <c r="N10" s="11">
        <v>-13473.124</v>
      </c>
      <c r="O10" s="11">
        <v>-4071.312</v>
      </c>
      <c r="P10" s="11">
        <v>61.003</v>
      </c>
      <c r="Q10" s="11">
        <v>1465.54</v>
      </c>
      <c r="R10" s="11">
        <v>-19.98</v>
      </c>
      <c r="S10" s="12">
        <v>0.89</v>
      </c>
      <c r="T10" s="13">
        <f t="shared" si="1"/>
        <v>1446.45</v>
      </c>
      <c r="U10" s="14">
        <f t="shared" si="2"/>
        <v>5.31</v>
      </c>
      <c r="V10" s="14">
        <f t="shared" si="3"/>
        <v>0.9534191142</v>
      </c>
      <c r="W10" s="15" t="str">
        <f t="shared" si="4"/>
        <v/>
      </c>
      <c r="X10" s="11">
        <f t="shared" si="5"/>
        <v>1447.208</v>
      </c>
      <c r="Y10" s="14">
        <f t="shared" si="6"/>
        <v>-0.758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</row>
    <row r="11">
      <c r="A11" s="7" t="str">
        <f t="array" ref="A11">LOOKUP(1,1/FREQUENCY(0,SIN((RADIANS(TA_AllSites_20220124!$A$2:$A$1397-$H11))/2)^2+SIN((RADIANS(TA_AllSites_20220124!$B$2:$B$1397-$I11))/2)^2*COS(RADIANS(TA_AllSites_20220124!$A$2:$A$1397))*COS(RADIANS($H11))),TA_AllSites_20220124!$C$2:$C$1397)</f>
        <v>CLF</v>
      </c>
      <c r="B11" s="6">
        <f t="array" ref="B11">LOOKUP(1,1/FREQUENCY(0,SIN((RADIANS(TA_AllSites_20220124!$A$2:$A$1397-$H11))/2)^2+SIN((RADIANS(TA_AllSites_20220124!$B$2:$B$1397-$I11))/2)^2*COS(RADIANS(TA_AllSites_20220124!$A$2:$A$1397))*COS(RADIANS($H11))),TA_AllSites_20220124!$A$2:$A$1397)</f>
        <v>39.29693</v>
      </c>
      <c r="C11" s="6">
        <f t="array" ref="C11">LOOKUP(1,1/FREQUENCY(0,SIN((RADIANS(TA_AllSites_20220124!$A$2:$A$1397-$H11))/2)^2+SIN((RADIANS(TA_AllSites_20220124!$B$2:$B$1397-$I11))/2)^2*COS(RADIANS(TA_AllSites_20220124!$A$2:$A$1397))*COS(RADIANS($H11))),TA_AllSites_20220124!$B$2:$B$1397)</f>
        <v>-112.90875</v>
      </c>
      <c r="D11" s="7"/>
      <c r="E11" s="7"/>
      <c r="F11" s="7" t="s">
        <v>22</v>
      </c>
      <c r="G11" s="8">
        <v>114.0</v>
      </c>
      <c r="H11" s="9">
        <v>39.2706230556</v>
      </c>
      <c r="I11" s="9">
        <v>-113.065166111</v>
      </c>
      <c r="J11" s="10">
        <v>1457.07</v>
      </c>
      <c r="K11" s="11">
        <v>-13502.56</v>
      </c>
      <c r="L11" s="11">
        <v>-2908.282</v>
      </c>
      <c r="M11" s="11">
        <v>72.089</v>
      </c>
      <c r="N11" s="11">
        <v>-13502.548</v>
      </c>
      <c r="O11" s="11">
        <v>-2908.279</v>
      </c>
      <c r="P11" s="11">
        <v>66.389</v>
      </c>
      <c r="Q11" s="11">
        <v>1470.34</v>
      </c>
      <c r="R11" s="11">
        <v>-19.968</v>
      </c>
      <c r="S11" s="12">
        <v>0.89</v>
      </c>
      <c r="T11" s="13">
        <f t="shared" si="1"/>
        <v>1451.262</v>
      </c>
      <c r="U11" s="14">
        <f t="shared" si="2"/>
        <v>5.808</v>
      </c>
      <c r="V11" s="14">
        <f t="shared" si="3"/>
        <v>1.579807925</v>
      </c>
      <c r="W11" s="15" t="str">
        <f t="shared" si="4"/>
        <v/>
      </c>
      <c r="X11" s="11">
        <f t="shared" si="5"/>
        <v>1452.518</v>
      </c>
      <c r="Y11" s="14">
        <f t="shared" si="6"/>
        <v>-1.256</v>
      </c>
      <c r="Z11" s="15"/>
      <c r="AA11" s="15"/>
      <c r="AH11" s="15"/>
      <c r="AI11" s="15"/>
      <c r="AJ11" s="15"/>
      <c r="AK11" s="15"/>
      <c r="AL11" s="15"/>
      <c r="AM11" s="15"/>
      <c r="AN11" s="15"/>
    </row>
    <row r="12">
      <c r="A12" s="7" t="str">
        <f t="array" ref="A12">LOOKUP(1,1/FREQUENCY(0,SIN((RADIANS(TA_AllSites_20220124!$A$2:$A$1397-$H12))/2)^2+SIN((RADIANS(TA_AllSites_20220124!$B$2:$B$1397-$I12))/2)^2*COS(RADIANS(TA_AllSites_20220124!$A$2:$A$1397))*COS(RADIANS($H12))),TA_AllSites_20220124!$C$2:$C$1397)</f>
        <v>CLF</v>
      </c>
      <c r="B12" s="6">
        <f t="array" ref="B12">LOOKUP(1,1/FREQUENCY(0,SIN((RADIANS(TA_AllSites_20220124!$A$2:$A$1397-$H12))/2)^2+SIN((RADIANS(TA_AllSites_20220124!$B$2:$B$1397-$I12))/2)^2*COS(RADIANS(TA_AllSites_20220124!$A$2:$A$1397))*COS(RADIANS($H12))),TA_AllSites_20220124!$A$2:$A$1397)</f>
        <v>39.29693</v>
      </c>
      <c r="C12" s="6">
        <f t="array" ref="C12">LOOKUP(1,1/FREQUENCY(0,SIN((RADIANS(TA_AllSites_20220124!$A$2:$A$1397-$H12))/2)^2+SIN((RADIANS(TA_AllSites_20220124!$B$2:$B$1397-$I12))/2)^2*COS(RADIANS(TA_AllSites_20220124!$A$2:$A$1397))*COS(RADIANS($H12))),TA_AllSites_20220124!$B$2:$B$1397)</f>
        <v>-112.90875</v>
      </c>
      <c r="D12" s="7"/>
      <c r="E12" s="7"/>
      <c r="F12" s="7" t="s">
        <v>22</v>
      </c>
      <c r="G12" s="8">
        <v>115.0</v>
      </c>
      <c r="H12" s="9">
        <v>39.2818586111</v>
      </c>
      <c r="I12" s="9">
        <v>-113.0651375</v>
      </c>
      <c r="J12" s="10">
        <v>1460.64</v>
      </c>
      <c r="K12" s="11">
        <v>-13497.995</v>
      </c>
      <c r="L12" s="11">
        <v>-1660.574</v>
      </c>
      <c r="M12" s="11">
        <v>76.117</v>
      </c>
      <c r="N12" s="11">
        <v>-13497.986</v>
      </c>
      <c r="O12" s="11">
        <v>-1660.573</v>
      </c>
      <c r="P12" s="11">
        <v>72.207</v>
      </c>
      <c r="Q12" s="11">
        <v>1475.68</v>
      </c>
      <c r="R12" s="11">
        <v>-19.953</v>
      </c>
      <c r="S12" s="12">
        <v>0.89</v>
      </c>
      <c r="T12" s="13">
        <f t="shared" si="1"/>
        <v>1456.617</v>
      </c>
      <c r="U12" s="14">
        <f t="shared" si="2"/>
        <v>4.023</v>
      </c>
      <c r="V12" s="14">
        <f t="shared" si="3"/>
        <v>-0.6653808858</v>
      </c>
      <c r="W12" s="15" t="str">
        <f t="shared" si="4"/>
        <v/>
      </c>
      <c r="X12" s="11">
        <f t="shared" si="5"/>
        <v>1456.088</v>
      </c>
      <c r="Y12" s="14">
        <f t="shared" si="6"/>
        <v>0.529</v>
      </c>
      <c r="Z12" s="15"/>
      <c r="AH12" s="15"/>
      <c r="AI12" s="15"/>
      <c r="AJ12" s="15"/>
      <c r="AK12" s="15"/>
      <c r="AL12" s="15"/>
      <c r="AM12" s="15"/>
      <c r="AN12" s="15"/>
    </row>
    <row r="13">
      <c r="A13" s="7" t="str">
        <f t="array" ref="A13">LOOKUP(1,1/FREQUENCY(0,SIN((RADIANS(TA_AllSites_20220124!$A$2:$A$1397-$H13))/2)^2+SIN((RADIANS(TA_AllSites_20220124!$B$2:$B$1397-$I13))/2)^2*COS(RADIANS(TA_AllSites_20220124!$A$2:$A$1397))*COS(RADIANS($H13))),TA_AllSites_20220124!$C$2:$C$1397)</f>
        <v>CLF</v>
      </c>
      <c r="B13" s="6">
        <f t="array" ref="B13">LOOKUP(1,1/FREQUENCY(0,SIN((RADIANS(TA_AllSites_20220124!$A$2:$A$1397-$H13))/2)^2+SIN((RADIANS(TA_AllSites_20220124!$B$2:$B$1397-$I13))/2)^2*COS(RADIANS(TA_AllSites_20220124!$A$2:$A$1397))*COS(RADIANS($H13))),TA_AllSites_20220124!$A$2:$A$1397)</f>
        <v>39.29693</v>
      </c>
      <c r="C13" s="6">
        <f t="array" ref="C13">LOOKUP(1,1/FREQUENCY(0,SIN((RADIANS(TA_AllSites_20220124!$A$2:$A$1397-$H13))/2)^2+SIN((RADIANS(TA_AllSites_20220124!$B$2:$B$1397-$I13))/2)^2*COS(RADIANS(TA_AllSites_20220124!$A$2:$A$1397))*COS(RADIANS($H13))),TA_AllSites_20220124!$B$2:$B$1397)</f>
        <v>-112.90875</v>
      </c>
      <c r="D13" s="7"/>
      <c r="E13" s="7"/>
      <c r="F13" s="7" t="s">
        <v>22</v>
      </c>
      <c r="G13" s="8">
        <v>116.0</v>
      </c>
      <c r="H13" s="9">
        <v>39.2922466667</v>
      </c>
      <c r="I13" s="9">
        <v>-113.06512</v>
      </c>
      <c r="J13" s="10">
        <v>1474.67</v>
      </c>
      <c r="K13" s="11">
        <v>-13494.477</v>
      </c>
      <c r="L13" s="11">
        <v>-507.029</v>
      </c>
      <c r="M13" s="11">
        <v>90.351</v>
      </c>
      <c r="N13" s="11">
        <v>-13494.465</v>
      </c>
      <c r="O13" s="11">
        <v>-507.028</v>
      </c>
      <c r="P13" s="11">
        <v>84.541</v>
      </c>
      <c r="Q13" s="11">
        <v>1487.8</v>
      </c>
      <c r="R13" s="11">
        <v>-19.936</v>
      </c>
      <c r="S13" s="12">
        <v>0.89</v>
      </c>
      <c r="T13" s="13">
        <f t="shared" si="1"/>
        <v>1468.754</v>
      </c>
      <c r="U13" s="14">
        <f t="shared" si="2"/>
        <v>5.916</v>
      </c>
      <c r="V13" s="14">
        <f t="shared" si="3"/>
        <v>1.715651282</v>
      </c>
      <c r="W13" s="15" t="str">
        <f t="shared" si="4"/>
        <v/>
      </c>
      <c r="X13" s="11">
        <f t="shared" si="5"/>
        <v>1470.118</v>
      </c>
      <c r="Y13" s="14">
        <f t="shared" si="6"/>
        <v>-1.364</v>
      </c>
      <c r="Z13" s="15"/>
      <c r="AH13" s="15"/>
      <c r="AI13" s="15"/>
      <c r="AJ13" s="15"/>
      <c r="AK13" s="15"/>
      <c r="AL13" s="15"/>
      <c r="AM13" s="15"/>
      <c r="AN13" s="15"/>
    </row>
    <row r="14">
      <c r="A14" s="7" t="str">
        <f t="array" ref="A14">LOOKUP(1,1/FREQUENCY(0,SIN((RADIANS(TA_AllSites_20220124!$A$2:$A$1397-$H14))/2)^2+SIN((RADIANS(TA_AllSites_20220124!$B$2:$B$1397-$I14))/2)^2*COS(RADIANS(TA_AllSites_20220124!$A$2:$A$1397))*COS(RADIANS($H14))),TA_AllSites_20220124!$C$2:$C$1397)</f>
        <v>CLF</v>
      </c>
      <c r="B14" s="6">
        <f t="array" ref="B14">LOOKUP(1,1/FREQUENCY(0,SIN((RADIANS(TA_AllSites_20220124!$A$2:$A$1397-$H14))/2)^2+SIN((RADIANS(TA_AllSites_20220124!$B$2:$B$1397-$I14))/2)^2*COS(RADIANS(TA_AllSites_20220124!$A$2:$A$1397))*COS(RADIANS($H14))),TA_AllSites_20220124!$A$2:$A$1397)</f>
        <v>39.29693</v>
      </c>
      <c r="C14" s="6">
        <f t="array" ref="C14">LOOKUP(1,1/FREQUENCY(0,SIN((RADIANS(TA_AllSites_20220124!$A$2:$A$1397-$H14))/2)^2+SIN((RADIANS(TA_AllSites_20220124!$B$2:$B$1397-$I14))/2)^2*COS(RADIANS(TA_AllSites_20220124!$A$2:$A$1397))*COS(RADIANS($H14))),TA_AllSites_20220124!$B$2:$B$1397)</f>
        <v>-112.90875</v>
      </c>
      <c r="D14" s="7"/>
      <c r="E14" s="7"/>
      <c r="F14" s="7" t="s">
        <v>22</v>
      </c>
      <c r="G14" s="8">
        <v>205.0</v>
      </c>
      <c r="H14" s="9">
        <v>39.1733188889</v>
      </c>
      <c r="I14" s="9">
        <v>-113.050988889</v>
      </c>
      <c r="J14" s="10">
        <v>1442.22</v>
      </c>
      <c r="K14" s="11">
        <v>-12295.81</v>
      </c>
      <c r="L14" s="11">
        <v>-13715.383</v>
      </c>
      <c r="M14" s="11">
        <v>45.558</v>
      </c>
      <c r="N14" s="11">
        <v>-12295.799</v>
      </c>
      <c r="O14" s="11">
        <v>-13715.371</v>
      </c>
      <c r="P14" s="11">
        <v>39.888</v>
      </c>
      <c r="Q14" s="11">
        <v>1455.66</v>
      </c>
      <c r="R14" s="11">
        <v>-20.106</v>
      </c>
      <c r="S14" s="12">
        <v>0.89</v>
      </c>
      <c r="T14" s="13">
        <f t="shared" si="1"/>
        <v>1436.444</v>
      </c>
      <c r="U14" s="14">
        <f t="shared" si="2"/>
        <v>5.776</v>
      </c>
      <c r="V14" s="14">
        <f t="shared" si="3"/>
        <v>1.539558042</v>
      </c>
      <c r="W14" s="15" t="str">
        <f t="shared" si="4"/>
        <v/>
      </c>
      <c r="X14" s="11">
        <f t="shared" si="5"/>
        <v>1437.668</v>
      </c>
      <c r="Y14" s="14">
        <f t="shared" si="6"/>
        <v>-1.224</v>
      </c>
      <c r="Z14" s="15"/>
      <c r="AH14" s="15"/>
      <c r="AI14" s="15"/>
      <c r="AJ14" s="15"/>
      <c r="AK14" s="15"/>
      <c r="AL14" s="15"/>
      <c r="AM14" s="15"/>
      <c r="AN14" s="15"/>
    </row>
    <row r="15">
      <c r="A15" s="7" t="str">
        <f t="array" ref="A15">LOOKUP(1,1/FREQUENCY(0,SIN((RADIANS(TA_AllSites_20220124!$A$2:$A$1397-$H15))/2)^2+SIN((RADIANS(TA_AllSites_20220124!$B$2:$B$1397-$I15))/2)^2*COS(RADIANS(TA_AllSites_20220124!$A$2:$A$1397))*COS(RADIANS($H15))),TA_AllSites_20220124!$C$2:$C$1397)</f>
        <v>CLF</v>
      </c>
      <c r="B15" s="6">
        <f t="array" ref="B15">LOOKUP(1,1/FREQUENCY(0,SIN((RADIANS(TA_AllSites_20220124!$A$2:$A$1397-$H15))/2)^2+SIN((RADIANS(TA_AllSites_20220124!$B$2:$B$1397-$I15))/2)^2*COS(RADIANS(TA_AllSites_20220124!$A$2:$A$1397))*COS(RADIANS($H15))),TA_AllSites_20220124!$A$2:$A$1397)</f>
        <v>39.29693</v>
      </c>
      <c r="C15" s="6">
        <f t="array" ref="C15">LOOKUP(1,1/FREQUENCY(0,SIN((RADIANS(TA_AllSites_20220124!$A$2:$A$1397-$H15))/2)^2+SIN((RADIANS(TA_AllSites_20220124!$B$2:$B$1397-$I15))/2)^2*COS(RADIANS(TA_AllSites_20220124!$A$2:$A$1397))*COS(RADIANS($H15))),TA_AllSites_20220124!$B$2:$B$1397)</f>
        <v>-112.90875</v>
      </c>
      <c r="D15" s="7"/>
      <c r="E15" s="7"/>
      <c r="F15" s="7" t="s">
        <v>22</v>
      </c>
      <c r="G15" s="8">
        <v>206.0</v>
      </c>
      <c r="H15" s="9">
        <v>39.1847752778</v>
      </c>
      <c r="I15" s="9">
        <v>-113.050343056</v>
      </c>
      <c r="J15" s="10">
        <v>1462.95</v>
      </c>
      <c r="K15" s="11">
        <v>-12238.027</v>
      </c>
      <c r="L15" s="11">
        <v>-12443.395</v>
      </c>
      <c r="M15" s="11">
        <v>69.013</v>
      </c>
      <c r="N15" s="11">
        <v>-12238.019</v>
      </c>
      <c r="O15" s="11">
        <v>-12443.387</v>
      </c>
      <c r="P15" s="11">
        <v>64.883</v>
      </c>
      <c r="Q15" s="11">
        <v>1477.9</v>
      </c>
      <c r="R15" s="11">
        <v>-20.085</v>
      </c>
      <c r="S15" s="12">
        <v>0.89</v>
      </c>
      <c r="T15" s="13">
        <f t="shared" si="1"/>
        <v>1458.705</v>
      </c>
      <c r="U15" s="14">
        <f t="shared" si="2"/>
        <v>4.245</v>
      </c>
      <c r="V15" s="14">
        <f t="shared" si="3"/>
        <v>-0.3861473193</v>
      </c>
      <c r="W15" s="15" t="str">
        <f t="shared" si="4"/>
        <v/>
      </c>
      <c r="X15" s="11">
        <f t="shared" si="5"/>
        <v>1458.398</v>
      </c>
      <c r="Y15" s="14">
        <f t="shared" si="6"/>
        <v>0.307</v>
      </c>
      <c r="Z15" s="15"/>
      <c r="AH15" s="15"/>
      <c r="AI15" s="15"/>
      <c r="AJ15" s="15"/>
      <c r="AK15" s="15"/>
      <c r="AL15" s="15"/>
      <c r="AM15" s="15"/>
      <c r="AN15" s="15"/>
    </row>
    <row r="16">
      <c r="A16" s="7" t="str">
        <f t="array" ref="A16">LOOKUP(1,1/FREQUENCY(0,SIN((RADIANS(TA_AllSites_20220124!$A$2:$A$1397-$H16))/2)^2+SIN((RADIANS(TA_AllSites_20220124!$B$2:$B$1397-$I16))/2)^2*COS(RADIANS(TA_AllSites_20220124!$A$2:$A$1397))*COS(RADIANS($H16))),TA_AllSites_20220124!$C$2:$C$1397)</f>
        <v>CLF</v>
      </c>
      <c r="B16" s="6">
        <f t="array" ref="B16">LOOKUP(1,1/FREQUENCY(0,SIN((RADIANS(TA_AllSites_20220124!$A$2:$A$1397-$H16))/2)^2+SIN((RADIANS(TA_AllSites_20220124!$B$2:$B$1397-$I16))/2)^2*COS(RADIANS(TA_AllSites_20220124!$A$2:$A$1397))*COS(RADIANS($H16))),TA_AllSites_20220124!$A$2:$A$1397)</f>
        <v>39.29693</v>
      </c>
      <c r="C16" s="6">
        <f t="array" ref="C16">LOOKUP(1,1/FREQUENCY(0,SIN((RADIANS(TA_AllSites_20220124!$A$2:$A$1397-$H16))/2)^2+SIN((RADIANS(TA_AllSites_20220124!$B$2:$B$1397-$I16))/2)^2*COS(RADIANS(TA_AllSites_20220124!$A$2:$A$1397))*COS(RADIANS($H16))),TA_AllSites_20220124!$B$2:$B$1397)</f>
        <v>-112.90875</v>
      </c>
      <c r="D16" s="7"/>
      <c r="E16" s="7"/>
      <c r="F16" s="7" t="s">
        <v>22</v>
      </c>
      <c r="G16" s="8">
        <v>207.0</v>
      </c>
      <c r="H16" s="9">
        <v>39.1949127778</v>
      </c>
      <c r="I16" s="9">
        <v>-113.051189722</v>
      </c>
      <c r="J16" s="10">
        <v>1460.69</v>
      </c>
      <c r="K16" s="11">
        <v>-12309.452</v>
      </c>
      <c r="L16" s="11">
        <v>-11317.509</v>
      </c>
      <c r="M16" s="11">
        <v>68.719</v>
      </c>
      <c r="N16" s="11">
        <v>-12309.443</v>
      </c>
      <c r="O16" s="11">
        <v>-11317.501</v>
      </c>
      <c r="P16" s="11">
        <v>64.149</v>
      </c>
      <c r="Q16" s="11">
        <v>1475.19</v>
      </c>
      <c r="R16" s="11">
        <v>-20.069</v>
      </c>
      <c r="S16" s="12">
        <v>0.89</v>
      </c>
      <c r="T16" s="13">
        <f t="shared" si="1"/>
        <v>1456.011</v>
      </c>
      <c r="U16" s="14">
        <f t="shared" si="2"/>
        <v>4.679</v>
      </c>
      <c r="V16" s="14">
        <f t="shared" si="3"/>
        <v>0.1597417249</v>
      </c>
      <c r="W16" s="15" t="str">
        <f t="shared" si="4"/>
        <v/>
      </c>
      <c r="X16" s="11">
        <f t="shared" si="5"/>
        <v>1456.138</v>
      </c>
      <c r="Y16" s="14">
        <f t="shared" si="6"/>
        <v>-0.127</v>
      </c>
      <c r="Z16" s="15"/>
      <c r="AH16" s="15"/>
      <c r="AI16" s="15"/>
      <c r="AJ16" s="15"/>
      <c r="AK16" s="15"/>
      <c r="AL16" s="15"/>
      <c r="AM16" s="15"/>
      <c r="AN16" s="15"/>
    </row>
    <row r="17">
      <c r="A17" s="7" t="str">
        <f t="array" ref="A17">LOOKUP(1,1/FREQUENCY(0,SIN((RADIANS(TA_AllSites_20220124!$A$2:$A$1397-$H17))/2)^2+SIN((RADIANS(TA_AllSites_20220124!$B$2:$B$1397-$I17))/2)^2*COS(RADIANS(TA_AllSites_20220124!$A$2:$A$1397))*COS(RADIANS($H17))),TA_AllSites_20220124!$C$2:$C$1397)</f>
        <v>CLF</v>
      </c>
      <c r="B17" s="6">
        <f t="array" ref="B17">LOOKUP(1,1/FREQUENCY(0,SIN((RADIANS(TA_AllSites_20220124!$A$2:$A$1397-$H17))/2)^2+SIN((RADIANS(TA_AllSites_20220124!$B$2:$B$1397-$I17))/2)^2*COS(RADIANS(TA_AllSites_20220124!$A$2:$A$1397))*COS(RADIANS($H17))),TA_AllSites_20220124!$A$2:$A$1397)</f>
        <v>39.29693</v>
      </c>
      <c r="C17" s="6">
        <f t="array" ref="C17">LOOKUP(1,1/FREQUENCY(0,SIN((RADIANS(TA_AllSites_20220124!$A$2:$A$1397-$H17))/2)^2+SIN((RADIANS(TA_AllSites_20220124!$B$2:$B$1397-$I17))/2)^2*COS(RADIANS(TA_AllSites_20220124!$A$2:$A$1397))*COS(RADIANS($H17))),TA_AllSites_20220124!$B$2:$B$1397)</f>
        <v>-112.90875</v>
      </c>
      <c r="D17" s="7"/>
      <c r="E17" s="7"/>
      <c r="F17" s="7" t="s">
        <v>22</v>
      </c>
      <c r="G17" s="8">
        <v>208.0</v>
      </c>
      <c r="H17" s="9">
        <v>39.2057394444</v>
      </c>
      <c r="I17" s="9">
        <v>-113.051211667</v>
      </c>
      <c r="J17" s="10">
        <v>1461.47</v>
      </c>
      <c r="K17" s="11">
        <v>-12309.465</v>
      </c>
      <c r="L17" s="11">
        <v>-10115.339</v>
      </c>
      <c r="M17" s="11">
        <v>71.523</v>
      </c>
      <c r="N17" s="11">
        <v>-12309.456</v>
      </c>
      <c r="O17" s="11">
        <v>-10115.332</v>
      </c>
      <c r="P17" s="11">
        <v>67.083</v>
      </c>
      <c r="Q17" s="11">
        <v>1476.08</v>
      </c>
      <c r="R17" s="11">
        <v>-20.053</v>
      </c>
      <c r="S17" s="12">
        <v>0.89</v>
      </c>
      <c r="T17" s="13">
        <f t="shared" si="1"/>
        <v>1456.917</v>
      </c>
      <c r="U17" s="14">
        <f t="shared" si="2"/>
        <v>4.553</v>
      </c>
      <c r="V17" s="14">
        <f t="shared" si="3"/>
        <v>0.001257808858</v>
      </c>
      <c r="W17" s="15" t="str">
        <f t="shared" si="4"/>
        <v/>
      </c>
      <c r="X17" s="11">
        <f t="shared" si="5"/>
        <v>1456.918</v>
      </c>
      <c r="Y17" s="14">
        <f t="shared" si="6"/>
        <v>-0.001</v>
      </c>
      <c r="Z17" s="15"/>
      <c r="AH17" s="15"/>
      <c r="AI17" s="15"/>
      <c r="AJ17" s="15"/>
      <c r="AK17" s="15"/>
      <c r="AL17" s="15"/>
      <c r="AM17" s="15"/>
      <c r="AN17" s="15"/>
    </row>
    <row r="18">
      <c r="A18" s="7" t="str">
        <f t="array" ref="A18">LOOKUP(1,1/FREQUENCY(0,SIN((RADIANS(TA_AllSites_20220124!$A$2:$A$1397-$H18))/2)^2+SIN((RADIANS(TA_AllSites_20220124!$B$2:$B$1397-$I18))/2)^2*COS(RADIANS(TA_AllSites_20220124!$A$2:$A$1397))*COS(RADIANS($H18))),TA_AllSites_20220124!$C$2:$C$1397)</f>
        <v>CLF</v>
      </c>
      <c r="B18" s="6">
        <f t="array" ref="B18">LOOKUP(1,1/FREQUENCY(0,SIN((RADIANS(TA_AllSites_20220124!$A$2:$A$1397-$H18))/2)^2+SIN((RADIANS(TA_AllSites_20220124!$B$2:$B$1397-$I18))/2)^2*COS(RADIANS(TA_AllSites_20220124!$A$2:$A$1397))*COS(RADIANS($H18))),TA_AllSites_20220124!$A$2:$A$1397)</f>
        <v>39.29693</v>
      </c>
      <c r="C18" s="6">
        <f t="array" ref="C18">LOOKUP(1,1/FREQUENCY(0,SIN((RADIANS(TA_AllSites_20220124!$A$2:$A$1397-$H18))/2)^2+SIN((RADIANS(TA_AllSites_20220124!$B$2:$B$1397-$I18))/2)^2*COS(RADIANS(TA_AllSites_20220124!$A$2:$A$1397))*COS(RADIANS($H18))),TA_AllSites_20220124!$B$2:$B$1397)</f>
        <v>-112.90875</v>
      </c>
      <c r="D18" s="7"/>
      <c r="E18" s="7"/>
      <c r="F18" s="7" t="s">
        <v>22</v>
      </c>
      <c r="G18" s="8">
        <v>209.0</v>
      </c>
      <c r="H18" s="9">
        <v>39.2168438889</v>
      </c>
      <c r="I18" s="9">
        <v>-113.051200556</v>
      </c>
      <c r="J18" s="10">
        <v>1452.88</v>
      </c>
      <c r="K18" s="11">
        <v>-12306.559</v>
      </c>
      <c r="L18" s="11">
        <v>-8882.177</v>
      </c>
      <c r="M18" s="11">
        <v>64.78</v>
      </c>
      <c r="N18" s="11">
        <v>-12306.55</v>
      </c>
      <c r="O18" s="11">
        <v>-8882.17</v>
      </c>
      <c r="P18" s="11">
        <v>60.22</v>
      </c>
      <c r="Q18" s="11">
        <v>1467.36</v>
      </c>
      <c r="R18" s="11">
        <v>-20.038</v>
      </c>
      <c r="S18" s="12">
        <v>0.89</v>
      </c>
      <c r="T18" s="13">
        <f t="shared" si="1"/>
        <v>1448.212</v>
      </c>
      <c r="U18" s="14">
        <f t="shared" si="2"/>
        <v>4.668</v>
      </c>
      <c r="V18" s="14">
        <f t="shared" si="3"/>
        <v>0.1459058275</v>
      </c>
      <c r="W18" s="15" t="str">
        <f t="shared" si="4"/>
        <v/>
      </c>
      <c r="X18" s="11">
        <f t="shared" si="5"/>
        <v>1448.328</v>
      </c>
      <c r="Y18" s="14">
        <f t="shared" si="6"/>
        <v>-0.116</v>
      </c>
      <c r="Z18" s="15"/>
      <c r="AH18" s="15"/>
      <c r="AI18" s="15"/>
      <c r="AJ18" s="15"/>
      <c r="AK18" s="15"/>
      <c r="AL18" s="15"/>
      <c r="AM18" s="15"/>
      <c r="AN18" s="15"/>
    </row>
    <row r="19">
      <c r="A19" s="7" t="str">
        <f t="array" ref="A19">LOOKUP(1,1/FREQUENCY(0,SIN((RADIANS(TA_AllSites_20220124!$A$2:$A$1397-$H19))/2)^2+SIN((RADIANS(TA_AllSites_20220124!$B$2:$B$1397-$I19))/2)^2*COS(RADIANS(TA_AllSites_20220124!$A$2:$A$1397))*COS(RADIANS($H19))),TA_AllSites_20220124!$C$2:$C$1397)</f>
        <v>CLF</v>
      </c>
      <c r="B19" s="6">
        <f t="array" ref="B19">LOOKUP(1,1/FREQUENCY(0,SIN((RADIANS(TA_AllSites_20220124!$A$2:$A$1397-$H19))/2)^2+SIN((RADIANS(TA_AllSites_20220124!$B$2:$B$1397-$I19))/2)^2*COS(RADIANS(TA_AllSites_20220124!$A$2:$A$1397))*COS(RADIANS($H19))),TA_AllSites_20220124!$A$2:$A$1397)</f>
        <v>39.29693</v>
      </c>
      <c r="C19" s="6">
        <f t="array" ref="C19">LOOKUP(1,1/FREQUENCY(0,SIN((RADIANS(TA_AllSites_20220124!$A$2:$A$1397-$H19))/2)^2+SIN((RADIANS(TA_AllSites_20220124!$B$2:$B$1397-$I19))/2)^2*COS(RADIANS(TA_AllSites_20220124!$A$2:$A$1397))*COS(RADIANS($H19))),TA_AllSites_20220124!$B$2:$B$1397)</f>
        <v>-112.90875</v>
      </c>
      <c r="D19" s="7"/>
      <c r="E19" s="7"/>
      <c r="F19" s="7" t="s">
        <v>22</v>
      </c>
      <c r="G19" s="8">
        <v>210.0</v>
      </c>
      <c r="H19" s="9">
        <v>39.2273475</v>
      </c>
      <c r="I19" s="9">
        <v>-113.051227778</v>
      </c>
      <c r="J19" s="10">
        <v>1444.43</v>
      </c>
      <c r="K19" s="11">
        <v>-12307.041</v>
      </c>
      <c r="L19" s="11">
        <v>-7715.748</v>
      </c>
      <c r="M19" s="11">
        <v>57.85</v>
      </c>
      <c r="N19" s="11">
        <v>-12307.032</v>
      </c>
      <c r="O19" s="11">
        <v>-7715.742</v>
      </c>
      <c r="P19" s="11">
        <v>53.421</v>
      </c>
      <c r="Q19" s="11">
        <v>1459.02</v>
      </c>
      <c r="R19" s="11">
        <v>-20.025</v>
      </c>
      <c r="S19" s="12">
        <v>0.89</v>
      </c>
      <c r="T19" s="13">
        <f t="shared" si="1"/>
        <v>1439.885</v>
      </c>
      <c r="U19" s="14">
        <f t="shared" si="2"/>
        <v>4.545</v>
      </c>
      <c r="V19" s="14">
        <f t="shared" si="3"/>
        <v>-0.008804662005</v>
      </c>
      <c r="W19" s="15" t="str">
        <f t="shared" si="4"/>
        <v/>
      </c>
      <c r="X19" s="11">
        <f t="shared" si="5"/>
        <v>1439.878</v>
      </c>
      <c r="Y19" s="14">
        <f t="shared" si="6"/>
        <v>0.007</v>
      </c>
      <c r="Z19" s="15"/>
      <c r="AH19" s="15"/>
      <c r="AI19" s="15"/>
      <c r="AJ19" s="15"/>
      <c r="AK19" s="15"/>
      <c r="AL19" s="15"/>
      <c r="AM19" s="15"/>
      <c r="AN19" s="15"/>
    </row>
    <row r="20">
      <c r="A20" s="7" t="str">
        <f t="array" ref="A20">LOOKUP(1,1/FREQUENCY(0,SIN((RADIANS(TA_AllSites_20220124!$A$2:$A$1397-$H20))/2)^2+SIN((RADIANS(TA_AllSites_20220124!$B$2:$B$1397-$I20))/2)^2*COS(RADIANS(TA_AllSites_20220124!$A$2:$A$1397))*COS(RADIANS($H20))),TA_AllSites_20220124!$C$2:$C$1397)</f>
        <v>CLF</v>
      </c>
      <c r="B20" s="6">
        <f t="array" ref="B20">LOOKUP(1,1/FREQUENCY(0,SIN((RADIANS(TA_AllSites_20220124!$A$2:$A$1397-$H20))/2)^2+SIN((RADIANS(TA_AllSites_20220124!$B$2:$B$1397-$I20))/2)^2*COS(RADIANS(TA_AllSites_20220124!$A$2:$A$1397))*COS(RADIANS($H20))),TA_AllSites_20220124!$A$2:$A$1397)</f>
        <v>39.29693</v>
      </c>
      <c r="C20" s="6">
        <f t="array" ref="C20">LOOKUP(1,1/FREQUENCY(0,SIN((RADIANS(TA_AllSites_20220124!$A$2:$A$1397-$H20))/2)^2+SIN((RADIANS(TA_AllSites_20220124!$B$2:$B$1397-$I20))/2)^2*COS(RADIANS(TA_AllSites_20220124!$A$2:$A$1397))*COS(RADIANS($H20))),TA_AllSites_20220124!$B$2:$B$1397)</f>
        <v>-112.90875</v>
      </c>
      <c r="D20" s="7"/>
      <c r="E20" s="7"/>
      <c r="F20" s="7" t="s">
        <v>22</v>
      </c>
      <c r="G20" s="8">
        <v>211.0</v>
      </c>
      <c r="H20" s="9">
        <v>39.2381905556</v>
      </c>
      <c r="I20" s="9">
        <v>-113.051212778</v>
      </c>
      <c r="J20" s="10">
        <v>1442.99</v>
      </c>
      <c r="K20" s="11">
        <v>-12303.849</v>
      </c>
      <c r="L20" s="11">
        <v>-6511.688</v>
      </c>
      <c r="M20" s="11">
        <v>57.763</v>
      </c>
      <c r="N20" s="11">
        <v>-12303.839</v>
      </c>
      <c r="O20" s="11">
        <v>-6511.683</v>
      </c>
      <c r="P20" s="11">
        <v>52.793</v>
      </c>
      <c r="Q20" s="11">
        <v>1457.03</v>
      </c>
      <c r="R20" s="11">
        <v>-20.013</v>
      </c>
      <c r="S20" s="12">
        <v>0.89</v>
      </c>
      <c r="T20" s="13">
        <f t="shared" si="1"/>
        <v>1437.907</v>
      </c>
      <c r="U20" s="14">
        <f t="shared" si="2"/>
        <v>5.083</v>
      </c>
      <c r="V20" s="14">
        <f t="shared" si="3"/>
        <v>0.6678965035</v>
      </c>
      <c r="W20" s="15" t="str">
        <f t="shared" si="4"/>
        <v/>
      </c>
      <c r="X20" s="11">
        <f t="shared" si="5"/>
        <v>1438.438</v>
      </c>
      <c r="Y20" s="14">
        <f t="shared" si="6"/>
        <v>-0.531</v>
      </c>
      <c r="Z20" s="15"/>
      <c r="AH20" s="15"/>
      <c r="AI20" s="15"/>
      <c r="AJ20" s="15"/>
      <c r="AK20" s="15"/>
      <c r="AL20" s="15"/>
      <c r="AM20" s="15"/>
      <c r="AN20" s="15"/>
    </row>
    <row r="21">
      <c r="A21" s="7" t="str">
        <f t="array" ref="A21">LOOKUP(1,1/FREQUENCY(0,SIN((RADIANS(TA_AllSites_20220124!$A$2:$A$1397-$H21))/2)^2+SIN((RADIANS(TA_AllSites_20220124!$B$2:$B$1397-$I21))/2)^2*COS(RADIANS(TA_AllSites_20220124!$A$2:$A$1397))*COS(RADIANS($H21))),TA_AllSites_20220124!$C$2:$C$1397)</f>
        <v>CLF</v>
      </c>
      <c r="B21" s="6">
        <f t="array" ref="B21">LOOKUP(1,1/FREQUENCY(0,SIN((RADIANS(TA_AllSites_20220124!$A$2:$A$1397-$H21))/2)^2+SIN((RADIANS(TA_AllSites_20220124!$B$2:$B$1397-$I21))/2)^2*COS(RADIANS(TA_AllSites_20220124!$A$2:$A$1397))*COS(RADIANS($H21))),TA_AllSites_20220124!$A$2:$A$1397)</f>
        <v>39.29693</v>
      </c>
      <c r="C21" s="6">
        <f t="array" ref="C21">LOOKUP(1,1/FREQUENCY(0,SIN((RADIANS(TA_AllSites_20220124!$A$2:$A$1397-$H21))/2)^2+SIN((RADIANS(TA_AllSites_20220124!$B$2:$B$1397-$I21))/2)^2*COS(RADIANS(TA_AllSites_20220124!$A$2:$A$1397))*COS(RADIANS($H21))),TA_AllSites_20220124!$B$2:$B$1397)</f>
        <v>-112.90875</v>
      </c>
      <c r="D21" s="7"/>
      <c r="E21" s="7"/>
      <c r="F21" s="7" t="s">
        <v>22</v>
      </c>
      <c r="G21" s="8">
        <v>212.0</v>
      </c>
      <c r="H21" s="9">
        <v>39.2489769444</v>
      </c>
      <c r="I21" s="9">
        <v>-113.051240556</v>
      </c>
      <c r="J21" s="10">
        <v>1443.88</v>
      </c>
      <c r="K21" s="11">
        <v>-12304.384</v>
      </c>
      <c r="L21" s="11">
        <v>-5313.952</v>
      </c>
      <c r="M21" s="11">
        <v>59.765</v>
      </c>
      <c r="N21" s="11">
        <v>-12304.375</v>
      </c>
      <c r="O21" s="11">
        <v>-5313.948</v>
      </c>
      <c r="P21" s="11">
        <v>55.235</v>
      </c>
      <c r="Q21" s="11">
        <v>1458.35</v>
      </c>
      <c r="R21" s="11">
        <v>-20.001</v>
      </c>
      <c r="S21" s="12">
        <v>0.89</v>
      </c>
      <c r="T21" s="13">
        <f t="shared" si="1"/>
        <v>1439.239</v>
      </c>
      <c r="U21" s="14">
        <f t="shared" si="2"/>
        <v>4.641</v>
      </c>
      <c r="V21" s="14">
        <f t="shared" si="3"/>
        <v>0.1119449883</v>
      </c>
      <c r="W21" s="15" t="str">
        <f t="shared" si="4"/>
        <v/>
      </c>
      <c r="X21" s="11">
        <f t="shared" si="5"/>
        <v>1439.328</v>
      </c>
      <c r="Y21" s="14">
        <f t="shared" si="6"/>
        <v>-0.089</v>
      </c>
      <c r="Z21" s="15"/>
      <c r="AH21" s="15"/>
      <c r="AI21" s="15"/>
      <c r="AJ21" s="15"/>
      <c r="AK21" s="15"/>
      <c r="AL21" s="15"/>
      <c r="AM21" s="15"/>
      <c r="AN21" s="15"/>
    </row>
    <row r="22">
      <c r="A22" s="7" t="str">
        <f t="array" ref="A22">LOOKUP(1,1/FREQUENCY(0,SIN((RADIANS(TA_AllSites_20220124!$A$2:$A$1397-$H22))/2)^2+SIN((RADIANS(TA_AllSites_20220124!$B$2:$B$1397-$I22))/2)^2*COS(RADIANS(TA_AllSites_20220124!$A$2:$A$1397))*COS(RADIANS($H22))),TA_AllSites_20220124!$C$2:$C$1397)</f>
        <v>CLF</v>
      </c>
      <c r="B22" s="6">
        <f t="array" ref="B22">LOOKUP(1,1/FREQUENCY(0,SIN((RADIANS(TA_AllSites_20220124!$A$2:$A$1397-$H22))/2)^2+SIN((RADIANS(TA_AllSites_20220124!$B$2:$B$1397-$I22))/2)^2*COS(RADIANS(TA_AllSites_20220124!$A$2:$A$1397))*COS(RADIANS($H22))),TA_AllSites_20220124!$A$2:$A$1397)</f>
        <v>39.29693</v>
      </c>
      <c r="C22" s="6">
        <f t="array" ref="C22">LOOKUP(1,1/FREQUENCY(0,SIN((RADIANS(TA_AllSites_20220124!$A$2:$A$1397-$H22))/2)^2+SIN((RADIANS(TA_AllSites_20220124!$B$2:$B$1397-$I22))/2)^2*COS(RADIANS(TA_AllSites_20220124!$A$2:$A$1397))*COS(RADIANS($H22))),TA_AllSites_20220124!$B$2:$B$1397)</f>
        <v>-112.90875</v>
      </c>
      <c r="D22" s="7"/>
      <c r="E22" s="7"/>
      <c r="F22" s="7" t="s">
        <v>22</v>
      </c>
      <c r="G22" s="8">
        <v>213.0</v>
      </c>
      <c r="H22" s="9">
        <v>39.2597605556</v>
      </c>
      <c r="I22" s="9">
        <v>-113.051253333</v>
      </c>
      <c r="J22" s="10">
        <v>1450.36</v>
      </c>
      <c r="K22" s="11">
        <v>-12303.548</v>
      </c>
      <c r="L22" s="11">
        <v>-4116.441</v>
      </c>
      <c r="M22" s="11">
        <v>67.134</v>
      </c>
      <c r="N22" s="11">
        <v>-12303.537</v>
      </c>
      <c r="O22" s="11">
        <v>-4116.438</v>
      </c>
      <c r="P22" s="11">
        <v>61.764</v>
      </c>
      <c r="Q22" s="11">
        <v>1463.98</v>
      </c>
      <c r="R22" s="11">
        <v>-19.989</v>
      </c>
      <c r="S22" s="12">
        <v>0.89</v>
      </c>
      <c r="T22" s="13">
        <f t="shared" si="1"/>
        <v>1444.881</v>
      </c>
      <c r="U22" s="14">
        <f t="shared" si="2"/>
        <v>5.479</v>
      </c>
      <c r="V22" s="14">
        <f t="shared" si="3"/>
        <v>1.165988811</v>
      </c>
      <c r="W22" s="15" t="str">
        <f t="shared" si="4"/>
        <v/>
      </c>
      <c r="X22" s="11">
        <f t="shared" si="5"/>
        <v>1445.808</v>
      </c>
      <c r="Y22" s="14">
        <f t="shared" si="6"/>
        <v>-0.927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>
      <c r="A23" s="7" t="str">
        <f t="array" ref="A23">LOOKUP(1,1/FREQUENCY(0,SIN((RADIANS(TA_AllSites_20220124!$A$2:$A$1397-$H23))/2)^2+SIN((RADIANS(TA_AllSites_20220124!$B$2:$B$1397-$I23))/2)^2*COS(RADIANS(TA_AllSites_20220124!$A$2:$A$1397))*COS(RADIANS($H23))),TA_AllSites_20220124!$C$2:$C$1397)</f>
        <v>CLF</v>
      </c>
      <c r="B23" s="6">
        <f t="array" ref="B23">LOOKUP(1,1/FREQUENCY(0,SIN((RADIANS(TA_AllSites_20220124!$A$2:$A$1397-$H23))/2)^2+SIN((RADIANS(TA_AllSites_20220124!$B$2:$B$1397-$I23))/2)^2*COS(RADIANS(TA_AllSites_20220124!$A$2:$A$1397))*COS(RADIANS($H23))),TA_AllSites_20220124!$A$2:$A$1397)</f>
        <v>39.29693</v>
      </c>
      <c r="C23" s="6">
        <f t="array" ref="C23">LOOKUP(1,1/FREQUENCY(0,SIN((RADIANS(TA_AllSites_20220124!$A$2:$A$1397-$H23))/2)^2+SIN((RADIANS(TA_AllSites_20220124!$B$2:$B$1397-$I23))/2)^2*COS(RADIANS(TA_AllSites_20220124!$A$2:$A$1397))*COS(RADIANS($H23))),TA_AllSites_20220124!$B$2:$B$1397)</f>
        <v>-112.90875</v>
      </c>
      <c r="D23" s="7"/>
      <c r="E23" s="7"/>
      <c r="F23" s="7" t="s">
        <v>22</v>
      </c>
      <c r="G23" s="8">
        <v>214.0</v>
      </c>
      <c r="H23" s="9">
        <v>39.2706261111</v>
      </c>
      <c r="I23" s="9">
        <v>-113.051193056</v>
      </c>
      <c r="J23" s="10">
        <v>1446.51</v>
      </c>
      <c r="K23" s="11">
        <v>-12296.462</v>
      </c>
      <c r="L23" s="11">
        <v>-2909.936</v>
      </c>
      <c r="M23" s="11">
        <v>63.964</v>
      </c>
      <c r="N23" s="11">
        <v>-12296.454</v>
      </c>
      <c r="O23" s="11">
        <v>-2909.934</v>
      </c>
      <c r="P23" s="11">
        <v>59.724</v>
      </c>
      <c r="Q23" s="11">
        <v>1461.25</v>
      </c>
      <c r="R23" s="11">
        <v>-19.976</v>
      </c>
      <c r="S23" s="12">
        <v>0.89</v>
      </c>
      <c r="T23" s="13">
        <f t="shared" si="1"/>
        <v>1442.164</v>
      </c>
      <c r="U23" s="14">
        <f t="shared" si="2"/>
        <v>4.346</v>
      </c>
      <c r="V23" s="14">
        <f t="shared" si="3"/>
        <v>-0.2591086247</v>
      </c>
      <c r="W23" s="15" t="str">
        <f t="shared" si="4"/>
        <v/>
      </c>
      <c r="X23" s="11">
        <f t="shared" si="5"/>
        <v>1441.958</v>
      </c>
      <c r="Y23" s="14">
        <f t="shared" si="6"/>
        <v>0.206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>
      <c r="A24" s="7" t="str">
        <f t="array" ref="A24">LOOKUP(1,1/FREQUENCY(0,SIN((RADIANS(TA_AllSites_20220124!$A$2:$A$1397-$H24))/2)^2+SIN((RADIANS(TA_AllSites_20220124!$B$2:$B$1397-$I24))/2)^2*COS(RADIANS(TA_AllSites_20220124!$A$2:$A$1397))*COS(RADIANS($H24))),TA_AllSites_20220124!$C$2:$C$1397)</f>
        <v>CLF</v>
      </c>
      <c r="B24" s="6">
        <f t="array" ref="B24">LOOKUP(1,1/FREQUENCY(0,SIN((RADIANS(TA_AllSites_20220124!$A$2:$A$1397-$H24))/2)^2+SIN((RADIANS(TA_AllSites_20220124!$B$2:$B$1397-$I24))/2)^2*COS(RADIANS(TA_AllSites_20220124!$A$2:$A$1397))*COS(RADIANS($H24))),TA_AllSites_20220124!$A$2:$A$1397)</f>
        <v>39.29693</v>
      </c>
      <c r="C24" s="6">
        <f t="array" ref="C24">LOOKUP(1,1/FREQUENCY(0,SIN((RADIANS(TA_AllSites_20220124!$A$2:$A$1397-$H24))/2)^2+SIN((RADIANS(TA_AllSites_20220124!$B$2:$B$1397-$I24))/2)^2*COS(RADIANS(TA_AllSites_20220124!$A$2:$A$1397))*COS(RADIANS($H24))),TA_AllSites_20220124!$B$2:$B$1397)</f>
        <v>-112.90875</v>
      </c>
      <c r="D24" s="7"/>
      <c r="E24" s="7"/>
      <c r="F24" s="7" t="s">
        <v>22</v>
      </c>
      <c r="G24" s="8">
        <v>215.0</v>
      </c>
      <c r="H24" s="9">
        <v>39.2814897222</v>
      </c>
      <c r="I24" s="9">
        <v>-113.051194167</v>
      </c>
      <c r="J24" s="10">
        <v>1455.36</v>
      </c>
      <c r="K24" s="11">
        <v>-12294.666</v>
      </c>
      <c r="L24" s="11">
        <v>-1703.536</v>
      </c>
      <c r="M24" s="11">
        <v>73.255</v>
      </c>
      <c r="N24" s="11">
        <v>-12294.657</v>
      </c>
      <c r="O24" s="11">
        <v>-1703.535</v>
      </c>
      <c r="P24" s="11">
        <v>68.645</v>
      </c>
      <c r="Q24" s="11">
        <v>1469.71</v>
      </c>
      <c r="R24" s="11">
        <v>-19.961</v>
      </c>
      <c r="S24" s="12">
        <v>0.89</v>
      </c>
      <c r="T24" s="13">
        <f t="shared" si="1"/>
        <v>1450.639</v>
      </c>
      <c r="U24" s="14">
        <f t="shared" si="2"/>
        <v>4.721</v>
      </c>
      <c r="V24" s="14">
        <f t="shared" si="3"/>
        <v>0.212569697</v>
      </c>
      <c r="W24" s="15" t="str">
        <f t="shared" si="4"/>
        <v/>
      </c>
      <c r="X24" s="11">
        <f t="shared" si="5"/>
        <v>1450.808</v>
      </c>
      <c r="Y24" s="14">
        <f t="shared" si="6"/>
        <v>-0.169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>
      <c r="A25" s="7" t="str">
        <f t="array" ref="A25">LOOKUP(1,1/FREQUENCY(0,SIN((RADIANS(TA_AllSites_20220124!$A$2:$A$1397-$H25))/2)^2+SIN((RADIANS(TA_AllSites_20220124!$B$2:$B$1397-$I25))/2)^2*COS(RADIANS(TA_AllSites_20220124!$A$2:$A$1397))*COS(RADIANS($H25))),TA_AllSites_20220124!$C$2:$C$1397)</f>
        <v>CLF</v>
      </c>
      <c r="B25" s="6">
        <f t="array" ref="B25">LOOKUP(1,1/FREQUENCY(0,SIN((RADIANS(TA_AllSites_20220124!$A$2:$A$1397-$H25))/2)^2+SIN((RADIANS(TA_AllSites_20220124!$B$2:$B$1397-$I25))/2)^2*COS(RADIANS(TA_AllSites_20220124!$A$2:$A$1397))*COS(RADIANS($H25))),TA_AllSites_20220124!$A$2:$A$1397)</f>
        <v>39.29693</v>
      </c>
      <c r="C25" s="6">
        <f t="array" ref="C25">LOOKUP(1,1/FREQUENCY(0,SIN((RADIANS(TA_AllSites_20220124!$A$2:$A$1397-$H25))/2)^2+SIN((RADIANS(TA_AllSites_20220124!$B$2:$B$1397-$I25))/2)^2*COS(RADIANS(TA_AllSites_20220124!$A$2:$A$1397))*COS(RADIANS($H25))),TA_AllSites_20220124!$B$2:$B$1397)</f>
        <v>-112.90875</v>
      </c>
      <c r="D25" s="7"/>
      <c r="E25" s="7"/>
      <c r="F25" s="7" t="s">
        <v>22</v>
      </c>
      <c r="G25" s="8">
        <v>216.0</v>
      </c>
      <c r="H25" s="9">
        <v>39.2922747222</v>
      </c>
      <c r="I25" s="9">
        <v>-113.0512175</v>
      </c>
      <c r="J25" s="10">
        <v>1489.53</v>
      </c>
      <c r="K25" s="11">
        <v>-12294.917</v>
      </c>
      <c r="L25" s="11">
        <v>-505.902</v>
      </c>
      <c r="M25" s="11">
        <v>107.632</v>
      </c>
      <c r="N25" s="11">
        <v>-12294.907</v>
      </c>
      <c r="O25" s="11">
        <v>-505.902</v>
      </c>
      <c r="P25" s="11">
        <v>102.122</v>
      </c>
      <c r="Q25" s="11">
        <v>1502.96</v>
      </c>
      <c r="R25" s="11">
        <v>-19.942</v>
      </c>
      <c r="S25" s="12">
        <v>0.89</v>
      </c>
      <c r="T25" s="13">
        <f t="shared" si="1"/>
        <v>1483.908</v>
      </c>
      <c r="U25" s="14">
        <f t="shared" si="2"/>
        <v>5.622</v>
      </c>
      <c r="V25" s="14">
        <f t="shared" si="3"/>
        <v>1.345855478</v>
      </c>
      <c r="W25" s="15" t="str">
        <f t="shared" si="4"/>
        <v/>
      </c>
      <c r="X25" s="11">
        <f t="shared" si="5"/>
        <v>1484.978</v>
      </c>
      <c r="Y25" s="14">
        <f t="shared" si="6"/>
        <v>-1.07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>
      <c r="A26" s="7" t="str">
        <f t="array" ref="A26">LOOKUP(1,1/FREQUENCY(0,SIN((RADIANS(TA_AllSites_20220124!$A$2:$A$1397-$H26))/2)^2+SIN((RADIANS(TA_AllSites_20220124!$B$2:$B$1397-$I26))/2)^2*COS(RADIANS(TA_AllSites_20220124!$A$2:$A$1397))*COS(RADIANS($H26))),TA_AllSites_20220124!$C$2:$C$1397)</f>
        <v>CLF</v>
      </c>
      <c r="B26" s="6">
        <f t="array" ref="B26">LOOKUP(1,1/FREQUENCY(0,SIN((RADIANS(TA_AllSites_20220124!$A$2:$A$1397-$H26))/2)^2+SIN((RADIANS(TA_AllSites_20220124!$B$2:$B$1397-$I26))/2)^2*COS(RADIANS(TA_AllSites_20220124!$A$2:$A$1397))*COS(RADIANS($H26))),TA_AllSites_20220124!$A$2:$A$1397)</f>
        <v>39.29693</v>
      </c>
      <c r="C26" s="6">
        <f t="array" ref="C26">LOOKUP(1,1/FREQUENCY(0,SIN((RADIANS(TA_AllSites_20220124!$A$2:$A$1397-$H26))/2)^2+SIN((RADIANS(TA_AllSites_20220124!$B$2:$B$1397-$I26))/2)^2*COS(RADIANS(TA_AllSites_20220124!$A$2:$A$1397))*COS(RADIANS($H26))),TA_AllSites_20220124!$B$2:$B$1397)</f>
        <v>-112.90875</v>
      </c>
      <c r="D26" s="7"/>
      <c r="E26" s="7"/>
      <c r="F26" s="7" t="s">
        <v>22</v>
      </c>
      <c r="G26" s="8">
        <v>217.0</v>
      </c>
      <c r="H26" s="9">
        <v>39.3028638889</v>
      </c>
      <c r="I26" s="9">
        <v>-113.050518333</v>
      </c>
      <c r="J26" s="10">
        <v>1554.96</v>
      </c>
      <c r="K26" s="11">
        <v>-12232.798</v>
      </c>
      <c r="L26" s="11">
        <v>669.887</v>
      </c>
      <c r="M26" s="11">
        <v>173.167</v>
      </c>
      <c r="N26" s="11">
        <v>-12232.791</v>
      </c>
      <c r="O26" s="11">
        <v>669.886</v>
      </c>
      <c r="P26" s="11">
        <v>169.487</v>
      </c>
      <c r="Q26" s="11">
        <v>1570.2</v>
      </c>
      <c r="R26" s="11">
        <v>-19.925</v>
      </c>
      <c r="S26" s="12">
        <v>0.89</v>
      </c>
      <c r="T26" s="13">
        <f t="shared" si="1"/>
        <v>1551.165</v>
      </c>
      <c r="U26" s="14">
        <f t="shared" si="2"/>
        <v>3.795</v>
      </c>
      <c r="V26" s="14">
        <f t="shared" si="3"/>
        <v>-0.9521613054</v>
      </c>
      <c r="W26" s="15" t="str">
        <f t="shared" si="4"/>
        <v/>
      </c>
      <c r="X26" s="11">
        <f t="shared" si="5"/>
        <v>1550.408</v>
      </c>
      <c r="Y26" s="14">
        <f t="shared" si="6"/>
        <v>0.757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>
      <c r="A27" s="7" t="str">
        <f t="array" ref="A27">LOOKUP(1,1/FREQUENCY(0,SIN((RADIANS(TA_AllSites_20220124!$A$2:$A$1397-$H27))/2)^2+SIN((RADIANS(TA_AllSites_20220124!$B$2:$B$1397-$I27))/2)^2*COS(RADIANS(TA_AllSites_20220124!$A$2:$A$1397))*COS(RADIANS($H27))),TA_AllSites_20220124!$C$2:$C$1397)</f>
        <v>CLF</v>
      </c>
      <c r="B27" s="6">
        <f t="array" ref="B27">LOOKUP(1,1/FREQUENCY(0,SIN((RADIANS(TA_AllSites_20220124!$A$2:$A$1397-$H27))/2)^2+SIN((RADIANS(TA_AllSites_20220124!$B$2:$B$1397-$I27))/2)^2*COS(RADIANS(TA_AllSites_20220124!$A$2:$A$1397))*COS(RADIANS($H27))),TA_AllSites_20220124!$A$2:$A$1397)</f>
        <v>39.29693</v>
      </c>
      <c r="C27" s="6">
        <f t="array" ref="C27">LOOKUP(1,1/FREQUENCY(0,SIN((RADIANS(TA_AllSites_20220124!$A$2:$A$1397-$H27))/2)^2+SIN((RADIANS(TA_AllSites_20220124!$B$2:$B$1397-$I27))/2)^2*COS(RADIANS(TA_AllSites_20220124!$A$2:$A$1397))*COS(RADIANS($H27))),TA_AllSites_20220124!$B$2:$B$1397)</f>
        <v>-112.90875</v>
      </c>
      <c r="D27" s="7"/>
      <c r="E27" s="7"/>
      <c r="F27" s="7" t="s">
        <v>22</v>
      </c>
      <c r="G27" s="8">
        <v>304.0</v>
      </c>
      <c r="H27" s="9">
        <v>39.1624555556</v>
      </c>
      <c r="I27" s="9">
        <v>-113.037643889</v>
      </c>
      <c r="J27" s="10">
        <v>1420.53</v>
      </c>
      <c r="K27" s="11">
        <v>-11144.025</v>
      </c>
      <c r="L27" s="11">
        <v>-14923.326</v>
      </c>
      <c r="M27" s="11">
        <v>23.262</v>
      </c>
      <c r="N27" s="11">
        <v>-11144.02</v>
      </c>
      <c r="O27" s="11">
        <v>-14923.319</v>
      </c>
      <c r="P27" s="11">
        <v>20.242</v>
      </c>
      <c r="Q27" s="11">
        <v>1436.64</v>
      </c>
      <c r="R27" s="11">
        <v>-20.134</v>
      </c>
      <c r="S27" s="12">
        <v>0.89</v>
      </c>
      <c r="T27" s="13">
        <f t="shared" si="1"/>
        <v>1417.396</v>
      </c>
      <c r="U27" s="14">
        <f t="shared" si="2"/>
        <v>3.134</v>
      </c>
      <c r="V27" s="14">
        <f t="shared" si="3"/>
        <v>-1.78357296</v>
      </c>
      <c r="W27" s="15" t="str">
        <f t="shared" si="4"/>
        <v/>
      </c>
      <c r="X27" s="11">
        <f t="shared" si="5"/>
        <v>1415.978</v>
      </c>
      <c r="Y27" s="14">
        <f t="shared" si="6"/>
        <v>1.418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>
      <c r="A28" s="7" t="str">
        <f t="array" ref="A28">LOOKUP(1,1/FREQUENCY(0,SIN((RADIANS(TA_AllSites_20220124!$A$2:$A$1397-$H28))/2)^2+SIN((RADIANS(TA_AllSites_20220124!$B$2:$B$1397-$I28))/2)^2*COS(RADIANS(TA_AllSites_20220124!$A$2:$A$1397))*COS(RADIANS($H28))),TA_AllSites_20220124!$C$2:$C$1397)</f>
        <v>CLF</v>
      </c>
      <c r="B28" s="6">
        <f t="array" ref="B28">LOOKUP(1,1/FREQUENCY(0,SIN((RADIANS(TA_AllSites_20220124!$A$2:$A$1397-$H28))/2)^2+SIN((RADIANS(TA_AllSites_20220124!$B$2:$B$1397-$I28))/2)^2*COS(RADIANS(TA_AllSites_20220124!$A$2:$A$1397))*COS(RADIANS($H28))),TA_AllSites_20220124!$A$2:$A$1397)</f>
        <v>39.29693</v>
      </c>
      <c r="C28" s="6">
        <f t="array" ref="C28">LOOKUP(1,1/FREQUENCY(0,SIN((RADIANS(TA_AllSites_20220124!$A$2:$A$1397-$H28))/2)^2+SIN((RADIANS(TA_AllSites_20220124!$B$2:$B$1397-$I28))/2)^2*COS(RADIANS(TA_AllSites_20220124!$A$2:$A$1397))*COS(RADIANS($H28))),TA_AllSites_20220124!$B$2:$B$1397)</f>
        <v>-112.90875</v>
      </c>
      <c r="D28" s="7"/>
      <c r="E28" s="7"/>
      <c r="F28" s="7" t="s">
        <v>22</v>
      </c>
      <c r="G28" s="8">
        <v>305.0</v>
      </c>
      <c r="H28" s="9">
        <v>39.1733802778</v>
      </c>
      <c r="I28" s="9">
        <v>-113.037275278</v>
      </c>
      <c r="J28" s="10">
        <v>1429.19</v>
      </c>
      <c r="K28" s="11">
        <v>-11110.422</v>
      </c>
      <c r="L28" s="11">
        <v>-13710.356</v>
      </c>
      <c r="M28" s="11">
        <v>34.71</v>
      </c>
      <c r="N28" s="11">
        <v>-11110.417</v>
      </c>
      <c r="O28" s="11">
        <v>-13710.349</v>
      </c>
      <c r="P28" s="11">
        <v>31.68</v>
      </c>
      <c r="Q28" s="11">
        <v>1445.27</v>
      </c>
      <c r="R28" s="11">
        <v>-20.114</v>
      </c>
      <c r="S28" s="12">
        <v>0.89</v>
      </c>
      <c r="T28" s="13">
        <f t="shared" si="1"/>
        <v>1426.046</v>
      </c>
      <c r="U28" s="14">
        <f t="shared" si="2"/>
        <v>3.144</v>
      </c>
      <c r="V28" s="14">
        <f t="shared" si="3"/>
        <v>-1.770994872</v>
      </c>
      <c r="W28" s="15" t="str">
        <f t="shared" si="4"/>
        <v/>
      </c>
      <c r="X28" s="11">
        <f t="shared" si="5"/>
        <v>1424.638</v>
      </c>
      <c r="Y28" s="14">
        <f t="shared" si="6"/>
        <v>1.408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>
      <c r="A29" s="7" t="str">
        <f t="array" ref="A29">LOOKUP(1,1/FREQUENCY(0,SIN((RADIANS(TA_AllSites_20220124!$A$2:$A$1397-$H29))/2)^2+SIN((RADIANS(TA_AllSites_20220124!$B$2:$B$1397-$I29))/2)^2*COS(RADIANS(TA_AllSites_20220124!$A$2:$A$1397))*COS(RADIANS($H29))),TA_AllSites_20220124!$C$2:$C$1397)</f>
        <v>CLF</v>
      </c>
      <c r="B29" s="6">
        <f t="array" ref="B29">LOOKUP(1,1/FREQUENCY(0,SIN((RADIANS(TA_AllSites_20220124!$A$2:$A$1397-$H29))/2)^2+SIN((RADIANS(TA_AllSites_20220124!$B$2:$B$1397-$I29))/2)^2*COS(RADIANS(TA_AllSites_20220124!$A$2:$A$1397))*COS(RADIANS($H29))),TA_AllSites_20220124!$A$2:$A$1397)</f>
        <v>39.29693</v>
      </c>
      <c r="C29" s="6">
        <f t="array" ref="C29">LOOKUP(1,1/FREQUENCY(0,SIN((RADIANS(TA_AllSites_20220124!$A$2:$A$1397-$H29))/2)^2+SIN((RADIANS(TA_AllSites_20220124!$B$2:$B$1397-$I29))/2)^2*COS(RADIANS(TA_AllSites_20220124!$A$2:$A$1397))*COS(RADIANS($H29))),TA_AllSites_20220124!$B$2:$B$1397)</f>
        <v>-112.90875</v>
      </c>
      <c r="D29" s="7"/>
      <c r="E29" s="7"/>
      <c r="F29" s="7" t="s">
        <v>22</v>
      </c>
      <c r="G29" s="8">
        <v>306.0</v>
      </c>
      <c r="H29" s="9">
        <v>39.1841533333</v>
      </c>
      <c r="I29" s="9">
        <v>-113.037327778</v>
      </c>
      <c r="J29" s="10">
        <v>1439.53</v>
      </c>
      <c r="K29" s="11">
        <v>-11113.325</v>
      </c>
      <c r="L29" s="11">
        <v>-12514.098</v>
      </c>
      <c r="M29" s="11">
        <v>47.51</v>
      </c>
      <c r="N29" s="11">
        <v>-11113.318</v>
      </c>
      <c r="O29" s="11">
        <v>-12514.09</v>
      </c>
      <c r="P29" s="11">
        <v>43.33</v>
      </c>
      <c r="Q29" s="11">
        <v>1454.45</v>
      </c>
      <c r="R29" s="11">
        <v>-20.096</v>
      </c>
      <c r="S29" s="12">
        <v>0.89</v>
      </c>
      <c r="T29" s="13">
        <f t="shared" si="1"/>
        <v>1435.244</v>
      </c>
      <c r="U29" s="14">
        <f t="shared" si="2"/>
        <v>4.286</v>
      </c>
      <c r="V29" s="14">
        <f t="shared" si="3"/>
        <v>-0.3345771562</v>
      </c>
      <c r="W29" s="15" t="str">
        <f t="shared" si="4"/>
        <v/>
      </c>
      <c r="X29" s="11">
        <f t="shared" si="5"/>
        <v>1434.978</v>
      </c>
      <c r="Y29" s="14">
        <f t="shared" si="6"/>
        <v>0.266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>
      <c r="A30" s="7" t="str">
        <f t="array" ref="A30">LOOKUP(1,1/FREQUENCY(0,SIN((RADIANS(TA_AllSites_20220124!$A$2:$A$1397-$H30))/2)^2+SIN((RADIANS(TA_AllSites_20220124!$B$2:$B$1397-$I30))/2)^2*COS(RADIANS(TA_AllSites_20220124!$A$2:$A$1397))*COS(RADIANS($H30))),TA_AllSites_20220124!$C$2:$C$1397)</f>
        <v>CLF</v>
      </c>
      <c r="B30" s="6">
        <f t="array" ref="B30">LOOKUP(1,1/FREQUENCY(0,SIN((RADIANS(TA_AllSites_20220124!$A$2:$A$1397-$H30))/2)^2+SIN((RADIANS(TA_AllSites_20220124!$B$2:$B$1397-$I30))/2)^2*COS(RADIANS(TA_AllSites_20220124!$A$2:$A$1397))*COS(RADIANS($H30))),TA_AllSites_20220124!$A$2:$A$1397)</f>
        <v>39.29693</v>
      </c>
      <c r="C30" s="6">
        <f t="array" ref="C30">LOOKUP(1,1/FREQUENCY(0,SIN((RADIANS(TA_AllSites_20220124!$A$2:$A$1397-$H30))/2)^2+SIN((RADIANS(TA_AllSites_20220124!$B$2:$B$1397-$I30))/2)^2*COS(RADIANS(TA_AllSites_20220124!$A$2:$A$1397))*COS(RADIANS($H30))),TA_AllSites_20220124!$B$2:$B$1397)</f>
        <v>-112.90875</v>
      </c>
      <c r="D30" s="7"/>
      <c r="E30" s="7"/>
      <c r="F30" s="7" t="s">
        <v>22</v>
      </c>
      <c r="G30" s="8">
        <v>307.0</v>
      </c>
      <c r="H30" s="9">
        <v>39.1949513889</v>
      </c>
      <c r="I30" s="9">
        <v>-113.037321389</v>
      </c>
      <c r="J30" s="10">
        <v>1443.54</v>
      </c>
      <c r="K30" s="11">
        <v>-11111.027</v>
      </c>
      <c r="L30" s="11">
        <v>-11315.054</v>
      </c>
      <c r="M30" s="11">
        <v>53.77</v>
      </c>
      <c r="N30" s="11">
        <v>-11111.019</v>
      </c>
      <c r="O30" s="11">
        <v>-11315.046</v>
      </c>
      <c r="P30" s="11">
        <v>49.37</v>
      </c>
      <c r="Q30" s="11">
        <v>1458.22</v>
      </c>
      <c r="R30" s="11">
        <v>-20.08</v>
      </c>
      <c r="S30" s="12">
        <v>0.89</v>
      </c>
      <c r="T30" s="13">
        <f t="shared" si="1"/>
        <v>1439.03</v>
      </c>
      <c r="U30" s="14">
        <f t="shared" si="2"/>
        <v>4.51</v>
      </c>
      <c r="V30" s="14">
        <f t="shared" si="3"/>
        <v>-0.05282797203</v>
      </c>
      <c r="W30" s="15" t="str">
        <f t="shared" si="4"/>
        <v/>
      </c>
      <c r="X30" s="11">
        <f t="shared" si="5"/>
        <v>1438.988</v>
      </c>
      <c r="Y30" s="14">
        <f t="shared" si="6"/>
        <v>0.042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</row>
    <row r="31">
      <c r="A31" s="7" t="str">
        <f t="array" ref="A31">LOOKUP(1,1/FREQUENCY(0,SIN((RADIANS(TA_AllSites_20220124!$A$2:$A$1397-$H31))/2)^2+SIN((RADIANS(TA_AllSites_20220124!$B$2:$B$1397-$I31))/2)^2*COS(RADIANS(TA_AllSites_20220124!$A$2:$A$1397))*COS(RADIANS($H31))),TA_AllSites_20220124!$C$2:$C$1397)</f>
        <v>CLF</v>
      </c>
      <c r="B31" s="6">
        <f t="array" ref="B31">LOOKUP(1,1/FREQUENCY(0,SIN((RADIANS(TA_AllSites_20220124!$A$2:$A$1397-$H31))/2)^2+SIN((RADIANS(TA_AllSites_20220124!$B$2:$B$1397-$I31))/2)^2*COS(RADIANS(TA_AllSites_20220124!$A$2:$A$1397))*COS(RADIANS($H31))),TA_AllSites_20220124!$A$2:$A$1397)</f>
        <v>39.29693</v>
      </c>
      <c r="C31" s="6">
        <f t="array" ref="C31">LOOKUP(1,1/FREQUENCY(0,SIN((RADIANS(TA_AllSites_20220124!$A$2:$A$1397-$H31))/2)^2+SIN((RADIANS(TA_AllSites_20220124!$B$2:$B$1397-$I31))/2)^2*COS(RADIANS(TA_AllSites_20220124!$A$2:$A$1397))*COS(RADIANS($H31))),TA_AllSites_20220124!$B$2:$B$1397)</f>
        <v>-112.90875</v>
      </c>
      <c r="D31" s="7"/>
      <c r="E31" s="7"/>
      <c r="F31" s="7" t="s">
        <v>22</v>
      </c>
      <c r="G31" s="8">
        <v>308.0</v>
      </c>
      <c r="H31" s="9">
        <v>39.2057766667</v>
      </c>
      <c r="I31" s="9">
        <v>-113.037316667</v>
      </c>
      <c r="J31" s="10">
        <v>1443.89</v>
      </c>
      <c r="K31" s="11">
        <v>-11108.976</v>
      </c>
      <c r="L31" s="11">
        <v>-10112.89</v>
      </c>
      <c r="M31" s="11">
        <v>56.148</v>
      </c>
      <c r="N31" s="11">
        <v>-11108.968</v>
      </c>
      <c r="O31" s="11">
        <v>-10112.882</v>
      </c>
      <c r="P31" s="11">
        <v>51.208</v>
      </c>
      <c r="Q31" s="11">
        <v>1458.01</v>
      </c>
      <c r="R31" s="11">
        <v>-20.064</v>
      </c>
      <c r="S31" s="12">
        <v>0.89</v>
      </c>
      <c r="T31" s="13">
        <f t="shared" si="1"/>
        <v>1438.836</v>
      </c>
      <c r="U31" s="14">
        <f t="shared" si="2"/>
        <v>5.054</v>
      </c>
      <c r="V31" s="14">
        <f t="shared" si="3"/>
        <v>0.6314200466</v>
      </c>
      <c r="W31" s="15" t="str">
        <f t="shared" si="4"/>
        <v/>
      </c>
      <c r="X31" s="11">
        <f t="shared" si="5"/>
        <v>1439.338</v>
      </c>
      <c r="Y31" s="14">
        <f t="shared" si="6"/>
        <v>-0.502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</row>
    <row r="32">
      <c r="A32" s="7" t="str">
        <f t="array" ref="A32">LOOKUP(1,1/FREQUENCY(0,SIN((RADIANS(TA_AllSites_20220124!$A$2:$A$1397-$H32))/2)^2+SIN((RADIANS(TA_AllSites_20220124!$B$2:$B$1397-$I32))/2)^2*COS(RADIANS(TA_AllSites_20220124!$A$2:$A$1397))*COS(RADIANS($H32))),TA_AllSites_20220124!$C$2:$C$1397)</f>
        <v>CLF</v>
      </c>
      <c r="B32" s="6">
        <f t="array" ref="B32">LOOKUP(1,1/FREQUENCY(0,SIN((RADIANS(TA_AllSites_20220124!$A$2:$A$1397-$H32))/2)^2+SIN((RADIANS(TA_AllSites_20220124!$B$2:$B$1397-$I32))/2)^2*COS(RADIANS(TA_AllSites_20220124!$A$2:$A$1397))*COS(RADIANS($H32))),TA_AllSites_20220124!$A$2:$A$1397)</f>
        <v>39.29693</v>
      </c>
      <c r="C32" s="6">
        <f t="array" ref="C32">LOOKUP(1,1/FREQUENCY(0,SIN((RADIANS(TA_AllSites_20220124!$A$2:$A$1397-$H32))/2)^2+SIN((RADIANS(TA_AllSites_20220124!$B$2:$B$1397-$I32))/2)^2*COS(RADIANS(TA_AllSites_20220124!$A$2:$A$1397))*COS(RADIANS($H32))),TA_AllSites_20220124!$B$2:$B$1397)</f>
        <v>-112.90875</v>
      </c>
      <c r="D32" s="7"/>
      <c r="E32" s="7"/>
      <c r="F32" s="7" t="s">
        <v>22</v>
      </c>
      <c r="G32" s="8">
        <v>309.0</v>
      </c>
      <c r="H32" s="9">
        <v>39.2165586111</v>
      </c>
      <c r="I32" s="9">
        <v>-113.037323333</v>
      </c>
      <c r="J32" s="10">
        <v>1437.31</v>
      </c>
      <c r="K32" s="11">
        <v>-11107.785</v>
      </c>
      <c r="L32" s="11">
        <v>-8915.599</v>
      </c>
      <c r="M32" s="11">
        <v>51.36</v>
      </c>
      <c r="N32" s="11">
        <v>-11107.776</v>
      </c>
      <c r="O32" s="11">
        <v>-8915.592</v>
      </c>
      <c r="P32" s="11">
        <v>46.56</v>
      </c>
      <c r="Q32" s="11">
        <v>1451.56</v>
      </c>
      <c r="R32" s="11">
        <v>-20.049</v>
      </c>
      <c r="S32" s="12">
        <v>0.89</v>
      </c>
      <c r="T32" s="13">
        <f t="shared" si="1"/>
        <v>1432.401</v>
      </c>
      <c r="U32" s="14">
        <f t="shared" si="2"/>
        <v>4.909</v>
      </c>
      <c r="V32" s="14">
        <f t="shared" si="3"/>
        <v>0.4490377622</v>
      </c>
      <c r="W32" s="15" t="str">
        <f t="shared" si="4"/>
        <v/>
      </c>
      <c r="X32" s="11">
        <f t="shared" si="5"/>
        <v>1432.758</v>
      </c>
      <c r="Y32" s="14">
        <f t="shared" si="6"/>
        <v>-0.357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</row>
    <row r="33">
      <c r="A33" s="7" t="str">
        <f t="array" ref="A33">LOOKUP(1,1/FREQUENCY(0,SIN((RADIANS(TA_AllSites_20220124!$A$2:$A$1397-$H33))/2)^2+SIN((RADIANS(TA_AllSites_20220124!$B$2:$B$1397-$I33))/2)^2*COS(RADIANS(TA_AllSites_20220124!$A$2:$A$1397))*COS(RADIANS($H33))),TA_AllSites_20220124!$C$2:$C$1397)</f>
        <v>CLF</v>
      </c>
      <c r="B33" s="6">
        <f t="array" ref="B33">LOOKUP(1,1/FREQUENCY(0,SIN((RADIANS(TA_AllSites_20220124!$A$2:$A$1397-$H33))/2)^2+SIN((RADIANS(TA_AllSites_20220124!$B$2:$B$1397-$I33))/2)^2*COS(RADIANS(TA_AllSites_20220124!$A$2:$A$1397))*COS(RADIANS($H33))),TA_AllSites_20220124!$A$2:$A$1397)</f>
        <v>39.29693</v>
      </c>
      <c r="C33" s="6">
        <f t="array" ref="C33">LOOKUP(1,1/FREQUENCY(0,SIN((RADIANS(TA_AllSites_20220124!$A$2:$A$1397-$H33))/2)^2+SIN((RADIANS(TA_AllSites_20220124!$B$2:$B$1397-$I33))/2)^2*COS(RADIANS(TA_AllSites_20220124!$A$2:$A$1397))*COS(RADIANS($H33))),TA_AllSites_20220124!$B$2:$B$1397)</f>
        <v>-112.90875</v>
      </c>
      <c r="D33" s="7"/>
      <c r="E33" s="7"/>
      <c r="F33" s="7" t="s">
        <v>22</v>
      </c>
      <c r="G33" s="8">
        <v>310.0</v>
      </c>
      <c r="H33" s="9">
        <v>39.2273477778</v>
      </c>
      <c r="I33" s="9">
        <v>-113.037305</v>
      </c>
      <c r="J33" s="10">
        <v>1433.52</v>
      </c>
      <c r="K33" s="11">
        <v>-11104.523</v>
      </c>
      <c r="L33" s="11">
        <v>-7717.536</v>
      </c>
      <c r="M33" s="11">
        <v>49.142</v>
      </c>
      <c r="N33" s="11">
        <v>-11104.516</v>
      </c>
      <c r="O33" s="11">
        <v>-7717.531</v>
      </c>
      <c r="P33" s="11">
        <v>44.862</v>
      </c>
      <c r="Q33" s="11">
        <v>1448.27</v>
      </c>
      <c r="R33" s="11">
        <v>-20.035</v>
      </c>
      <c r="S33" s="12">
        <v>0.89</v>
      </c>
      <c r="T33" s="13">
        <f t="shared" si="1"/>
        <v>1429.125</v>
      </c>
      <c r="U33" s="14">
        <f t="shared" si="2"/>
        <v>4.395</v>
      </c>
      <c r="V33" s="14">
        <f t="shared" si="3"/>
        <v>-0.1974759907</v>
      </c>
      <c r="W33" s="15" t="str">
        <f t="shared" si="4"/>
        <v/>
      </c>
      <c r="X33" s="11">
        <f t="shared" si="5"/>
        <v>1428.968</v>
      </c>
      <c r="Y33" s="14">
        <f t="shared" si="6"/>
        <v>0.157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</row>
    <row r="34">
      <c r="A34" s="7" t="str">
        <f t="array" ref="A34">LOOKUP(1,1/FREQUENCY(0,SIN((RADIANS(TA_AllSites_20220124!$A$2:$A$1397-$H34))/2)^2+SIN((RADIANS(TA_AllSites_20220124!$B$2:$B$1397-$I34))/2)^2*COS(RADIANS(TA_AllSites_20220124!$A$2:$A$1397))*COS(RADIANS($H34))),TA_AllSites_20220124!$C$2:$C$1397)</f>
        <v>CLF</v>
      </c>
      <c r="B34" s="6">
        <f t="array" ref="B34">LOOKUP(1,1/FREQUENCY(0,SIN((RADIANS(TA_AllSites_20220124!$A$2:$A$1397-$H34))/2)^2+SIN((RADIANS(TA_AllSites_20220124!$B$2:$B$1397-$I34))/2)^2*COS(RADIANS(TA_AllSites_20220124!$A$2:$A$1397))*COS(RADIANS($H34))),TA_AllSites_20220124!$A$2:$A$1397)</f>
        <v>39.29693</v>
      </c>
      <c r="C34" s="6">
        <f t="array" ref="C34">LOOKUP(1,1/FREQUENCY(0,SIN((RADIANS(TA_AllSites_20220124!$A$2:$A$1397-$H34))/2)^2+SIN((RADIANS(TA_AllSites_20220124!$B$2:$B$1397-$I34))/2)^2*COS(RADIANS(TA_AllSites_20220124!$A$2:$A$1397))*COS(RADIANS($H34))),TA_AllSites_20220124!$B$2:$B$1397)</f>
        <v>-112.90875</v>
      </c>
      <c r="D34" s="7"/>
      <c r="E34" s="7"/>
      <c r="F34" s="7" t="s">
        <v>22</v>
      </c>
      <c r="G34" s="8">
        <v>311.0</v>
      </c>
      <c r="H34" s="9">
        <v>39.2381927778</v>
      </c>
      <c r="I34" s="9">
        <v>-113.037320556</v>
      </c>
      <c r="J34" s="10">
        <v>1435.14</v>
      </c>
      <c r="K34" s="11">
        <v>-11104.199</v>
      </c>
      <c r="L34" s="11">
        <v>-6513.255</v>
      </c>
      <c r="M34" s="11">
        <v>52.109</v>
      </c>
      <c r="N34" s="11">
        <v>-11104.191</v>
      </c>
      <c r="O34" s="11">
        <v>-6513.251</v>
      </c>
      <c r="P34" s="11">
        <v>47.789</v>
      </c>
      <c r="Q34" s="11">
        <v>1449.84</v>
      </c>
      <c r="R34" s="11">
        <v>-20.022</v>
      </c>
      <c r="S34" s="12">
        <v>0.89</v>
      </c>
      <c r="T34" s="13">
        <f t="shared" si="1"/>
        <v>1430.708</v>
      </c>
      <c r="U34" s="14">
        <f t="shared" si="2"/>
        <v>4.432</v>
      </c>
      <c r="V34" s="14">
        <f t="shared" si="3"/>
        <v>-0.1509370629</v>
      </c>
      <c r="W34" s="15" t="str">
        <f t="shared" si="4"/>
        <v/>
      </c>
      <c r="X34" s="11">
        <f t="shared" si="5"/>
        <v>1430.588</v>
      </c>
      <c r="Y34" s="14">
        <f t="shared" si="6"/>
        <v>0.12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</row>
    <row r="35">
      <c r="A35" s="7" t="str">
        <f t="array" ref="A35">LOOKUP(1,1/FREQUENCY(0,SIN((RADIANS(TA_AllSites_20220124!$A$2:$A$1397-$H35))/2)^2+SIN((RADIANS(TA_AllSites_20220124!$B$2:$B$1397-$I35))/2)^2*COS(RADIANS(TA_AllSites_20220124!$A$2:$A$1397))*COS(RADIANS($H35))),TA_AllSites_20220124!$C$2:$C$1397)</f>
        <v>CLF</v>
      </c>
      <c r="B35" s="6">
        <f t="array" ref="B35">LOOKUP(1,1/FREQUENCY(0,SIN((RADIANS(TA_AllSites_20220124!$A$2:$A$1397-$H35))/2)^2+SIN((RADIANS(TA_AllSites_20220124!$B$2:$B$1397-$I35))/2)^2*COS(RADIANS(TA_AllSites_20220124!$A$2:$A$1397))*COS(RADIANS($H35))),TA_AllSites_20220124!$A$2:$A$1397)</f>
        <v>39.29693</v>
      </c>
      <c r="C35" s="6">
        <f t="array" ref="C35">LOOKUP(1,1/FREQUENCY(0,SIN((RADIANS(TA_AllSites_20220124!$A$2:$A$1397-$H35))/2)^2+SIN((RADIANS(TA_AllSites_20220124!$B$2:$B$1397-$I35))/2)^2*COS(RADIANS(TA_AllSites_20220124!$A$2:$A$1397))*COS(RADIANS($H35))),TA_AllSites_20220124!$B$2:$B$1397)</f>
        <v>-112.90875</v>
      </c>
      <c r="D35" s="7"/>
      <c r="E35" s="7"/>
      <c r="F35" s="7" t="s">
        <v>22</v>
      </c>
      <c r="G35" s="8">
        <v>312.0</v>
      </c>
      <c r="H35" s="9">
        <v>39.2489552778</v>
      </c>
      <c r="I35" s="9">
        <v>-113.037326389</v>
      </c>
      <c r="J35" s="10">
        <v>1438.89</v>
      </c>
      <c r="K35" s="11">
        <v>-11102.94</v>
      </c>
      <c r="L35" s="11">
        <v>-5318.191</v>
      </c>
      <c r="M35" s="11">
        <v>56.973</v>
      </c>
      <c r="N35" s="11">
        <v>-11102.932</v>
      </c>
      <c r="O35" s="11">
        <v>-5318.187</v>
      </c>
      <c r="P35" s="11">
        <v>52.133</v>
      </c>
      <c r="Q35" s="11">
        <v>1453.06</v>
      </c>
      <c r="R35" s="11">
        <v>-20.01</v>
      </c>
      <c r="S35" s="12">
        <v>0.89</v>
      </c>
      <c r="T35" s="13">
        <f t="shared" si="1"/>
        <v>1433.94</v>
      </c>
      <c r="U35" s="14">
        <f t="shared" si="2"/>
        <v>4.95</v>
      </c>
      <c r="V35" s="14">
        <f t="shared" si="3"/>
        <v>0.5006079254</v>
      </c>
      <c r="W35" s="15" t="str">
        <f t="shared" si="4"/>
        <v/>
      </c>
      <c r="X35" s="11">
        <f t="shared" si="5"/>
        <v>1434.338</v>
      </c>
      <c r="Y35" s="14">
        <f t="shared" si="6"/>
        <v>-0.398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</row>
    <row r="36">
      <c r="A36" s="7" t="str">
        <f t="array" ref="A36">LOOKUP(1,1/FREQUENCY(0,SIN((RADIANS(TA_AllSites_20220124!$A$2:$A$1397-$H36))/2)^2+SIN((RADIANS(TA_AllSites_20220124!$B$2:$B$1397-$I36))/2)^2*COS(RADIANS(TA_AllSites_20220124!$A$2:$A$1397))*COS(RADIANS($H36))),TA_AllSites_20220124!$C$2:$C$1397)</f>
        <v>CLF</v>
      </c>
      <c r="B36" s="6">
        <f t="array" ref="B36">LOOKUP(1,1/FREQUENCY(0,SIN((RADIANS(TA_AllSites_20220124!$A$2:$A$1397-$H36))/2)^2+SIN((RADIANS(TA_AllSites_20220124!$B$2:$B$1397-$I36))/2)^2*COS(RADIANS(TA_AllSites_20220124!$A$2:$A$1397))*COS(RADIANS($H36))),TA_AllSites_20220124!$A$2:$A$1397)</f>
        <v>39.29693</v>
      </c>
      <c r="C36" s="6">
        <f t="array" ref="C36">LOOKUP(1,1/FREQUENCY(0,SIN((RADIANS(TA_AllSites_20220124!$A$2:$A$1397-$H36))/2)^2+SIN((RADIANS(TA_AllSites_20220124!$B$2:$B$1397-$I36))/2)^2*COS(RADIANS(TA_AllSites_20220124!$A$2:$A$1397))*COS(RADIANS($H36))),TA_AllSites_20220124!$B$2:$B$1397)</f>
        <v>-112.90875</v>
      </c>
      <c r="D36" s="7"/>
      <c r="E36" s="7"/>
      <c r="F36" s="7" t="s">
        <v>22</v>
      </c>
      <c r="G36" s="8">
        <v>313.0</v>
      </c>
      <c r="H36" s="9">
        <v>39.2599022222</v>
      </c>
      <c r="I36" s="9">
        <v>-113.037436111</v>
      </c>
      <c r="J36" s="10">
        <v>1441.64</v>
      </c>
      <c r="K36" s="11">
        <v>-11110.714</v>
      </c>
      <c r="L36" s="11">
        <v>-4102.566</v>
      </c>
      <c r="M36" s="11">
        <v>60.609</v>
      </c>
      <c r="N36" s="11">
        <v>-11110.705</v>
      </c>
      <c r="O36" s="11">
        <v>-4102.563</v>
      </c>
      <c r="P36" s="11">
        <v>55.439</v>
      </c>
      <c r="Q36" s="11">
        <v>1455.47</v>
      </c>
      <c r="R36" s="11">
        <v>-19.997</v>
      </c>
      <c r="S36" s="12">
        <v>0.89</v>
      </c>
      <c r="T36" s="13">
        <f t="shared" si="1"/>
        <v>1436.363</v>
      </c>
      <c r="U36" s="14">
        <f t="shared" si="2"/>
        <v>5.277</v>
      </c>
      <c r="V36" s="14">
        <f t="shared" si="3"/>
        <v>0.9119114219</v>
      </c>
      <c r="W36" s="15" t="str">
        <f t="shared" si="4"/>
        <v/>
      </c>
      <c r="X36" s="11">
        <f t="shared" si="5"/>
        <v>1437.088</v>
      </c>
      <c r="Y36" s="14">
        <f t="shared" si="6"/>
        <v>-0.725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</row>
    <row r="37">
      <c r="A37" s="7" t="str">
        <f t="array" ref="A37">LOOKUP(1,1/FREQUENCY(0,SIN((RADIANS(TA_AllSites_20220124!$A$2:$A$1397-$H37))/2)^2+SIN((RADIANS(TA_AllSites_20220124!$B$2:$B$1397-$I37))/2)^2*COS(RADIANS(TA_AllSites_20220124!$A$2:$A$1397))*COS(RADIANS($H37))),TA_AllSites_20220124!$C$2:$C$1397)</f>
        <v>CLF</v>
      </c>
      <c r="B37" s="6">
        <f t="array" ref="B37">LOOKUP(1,1/FREQUENCY(0,SIN((RADIANS(TA_AllSites_20220124!$A$2:$A$1397-$H37))/2)^2+SIN((RADIANS(TA_AllSites_20220124!$B$2:$B$1397-$I37))/2)^2*COS(RADIANS(TA_AllSites_20220124!$A$2:$A$1397))*COS(RADIANS($H37))),TA_AllSites_20220124!$A$2:$A$1397)</f>
        <v>39.29693</v>
      </c>
      <c r="C37" s="6">
        <f t="array" ref="C37">LOOKUP(1,1/FREQUENCY(0,SIN((RADIANS(TA_AllSites_20220124!$A$2:$A$1397-$H37))/2)^2+SIN((RADIANS(TA_AllSites_20220124!$B$2:$B$1397-$I37))/2)^2*COS(RADIANS(TA_AllSites_20220124!$A$2:$A$1397))*COS(RADIANS($H37))),TA_AllSites_20220124!$B$2:$B$1397)</f>
        <v>-112.90875</v>
      </c>
      <c r="D37" s="7"/>
      <c r="E37" s="7"/>
      <c r="F37" s="7" t="s">
        <v>22</v>
      </c>
      <c r="G37" s="8">
        <v>314.0</v>
      </c>
      <c r="H37" s="9">
        <v>39.2706297222</v>
      </c>
      <c r="I37" s="9">
        <v>-113.037355833</v>
      </c>
      <c r="J37" s="10">
        <v>1438.71</v>
      </c>
      <c r="K37" s="11">
        <v>-11102.111</v>
      </c>
      <c r="L37" s="11">
        <v>-2911.278</v>
      </c>
      <c r="M37" s="11">
        <v>58.351</v>
      </c>
      <c r="N37" s="11">
        <v>-11102.103</v>
      </c>
      <c r="O37" s="11">
        <v>-2911.276</v>
      </c>
      <c r="P37" s="11">
        <v>54.291</v>
      </c>
      <c r="Q37" s="11">
        <v>1453.63</v>
      </c>
      <c r="R37" s="11">
        <v>-19.983</v>
      </c>
      <c r="S37" s="12">
        <v>0.89</v>
      </c>
      <c r="T37" s="13">
        <f t="shared" si="1"/>
        <v>1434.537</v>
      </c>
      <c r="U37" s="14">
        <f t="shared" si="2"/>
        <v>4.173</v>
      </c>
      <c r="V37" s="14">
        <f t="shared" si="3"/>
        <v>-0.4767095571</v>
      </c>
      <c r="W37" s="15" t="str">
        <f t="shared" si="4"/>
        <v/>
      </c>
      <c r="X37" s="11">
        <f t="shared" si="5"/>
        <v>1434.158</v>
      </c>
      <c r="Y37" s="14">
        <f t="shared" si="6"/>
        <v>0.379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</row>
    <row r="38">
      <c r="A38" s="7" t="str">
        <f t="array" ref="A38">LOOKUP(1,1/FREQUENCY(0,SIN((RADIANS(TA_AllSites_20220124!$A$2:$A$1397-$H38))/2)^2+SIN((RADIANS(TA_AllSites_20220124!$B$2:$B$1397-$I38))/2)^2*COS(RADIANS(TA_AllSites_20220124!$A$2:$A$1397))*COS(RADIANS($H38))),TA_AllSites_20220124!$C$2:$C$1397)</f>
        <v>CLF</v>
      </c>
      <c r="B38" s="6">
        <f t="array" ref="B38">LOOKUP(1,1/FREQUENCY(0,SIN((RADIANS(TA_AllSites_20220124!$A$2:$A$1397-$H38))/2)^2+SIN((RADIANS(TA_AllSites_20220124!$B$2:$B$1397-$I38))/2)^2*COS(RADIANS(TA_AllSites_20220124!$A$2:$A$1397))*COS(RADIANS($H38))),TA_AllSites_20220124!$A$2:$A$1397)</f>
        <v>39.29693</v>
      </c>
      <c r="C38" s="6">
        <f t="array" ref="C38">LOOKUP(1,1/FREQUENCY(0,SIN((RADIANS(TA_AllSites_20220124!$A$2:$A$1397-$H38))/2)^2+SIN((RADIANS(TA_AllSites_20220124!$B$2:$B$1397-$I38))/2)^2*COS(RADIANS(TA_AllSites_20220124!$A$2:$A$1397))*COS(RADIANS($H38))),TA_AllSites_20220124!$B$2:$B$1397)</f>
        <v>-112.90875</v>
      </c>
      <c r="D38" s="7"/>
      <c r="E38" s="7"/>
      <c r="F38" s="7" t="s">
        <v>22</v>
      </c>
      <c r="G38" s="8">
        <v>315.0</v>
      </c>
      <c r="H38" s="9">
        <v>39.2814691667</v>
      </c>
      <c r="I38" s="9">
        <v>-113.037312778</v>
      </c>
      <c r="J38" s="10">
        <v>1443.46</v>
      </c>
      <c r="K38" s="11">
        <v>-11096.697</v>
      </c>
      <c r="L38" s="11">
        <v>-1707.66</v>
      </c>
      <c r="M38" s="11">
        <v>63.547</v>
      </c>
      <c r="N38" s="11">
        <v>-11096.689</v>
      </c>
      <c r="O38" s="11">
        <v>-1707.658</v>
      </c>
      <c r="P38" s="11">
        <v>59.037</v>
      </c>
      <c r="Q38" s="11">
        <v>1457.92</v>
      </c>
      <c r="R38" s="11">
        <v>-19.968</v>
      </c>
      <c r="S38" s="12">
        <v>0.89</v>
      </c>
      <c r="T38" s="13">
        <f t="shared" si="1"/>
        <v>1438.842</v>
      </c>
      <c r="U38" s="14">
        <f t="shared" si="2"/>
        <v>4.618</v>
      </c>
      <c r="V38" s="14">
        <f t="shared" si="3"/>
        <v>0.08301538462</v>
      </c>
      <c r="W38" s="15" t="str">
        <f t="shared" si="4"/>
        <v/>
      </c>
      <c r="X38" s="11">
        <f t="shared" si="5"/>
        <v>1438.908</v>
      </c>
      <c r="Y38" s="14">
        <f t="shared" si="6"/>
        <v>-0.066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</row>
    <row r="39">
      <c r="A39" s="7" t="str">
        <f t="array" ref="A39">LOOKUP(1,1/FREQUENCY(0,SIN((RADIANS(TA_AllSites_20220124!$A$2:$A$1397-$H39))/2)^2+SIN((RADIANS(TA_AllSites_20220124!$B$2:$B$1397-$I39))/2)^2*COS(RADIANS(TA_AllSites_20220124!$A$2:$A$1397))*COS(RADIANS($H39))),TA_AllSites_20220124!$C$2:$C$1397)</f>
        <v>CLF</v>
      </c>
      <c r="B39" s="6">
        <f t="array" ref="B39">LOOKUP(1,1/FREQUENCY(0,SIN((RADIANS(TA_AllSites_20220124!$A$2:$A$1397-$H39))/2)^2+SIN((RADIANS(TA_AllSites_20220124!$B$2:$B$1397-$I39))/2)^2*COS(RADIANS(TA_AllSites_20220124!$A$2:$A$1397))*COS(RADIANS($H39))),TA_AllSites_20220124!$A$2:$A$1397)</f>
        <v>39.29693</v>
      </c>
      <c r="C39" s="6">
        <f t="array" ref="C39">LOOKUP(1,1/FREQUENCY(0,SIN((RADIANS(TA_AllSites_20220124!$A$2:$A$1397-$H39))/2)^2+SIN((RADIANS(TA_AllSites_20220124!$B$2:$B$1397-$I39))/2)^2*COS(RADIANS(TA_AllSites_20220124!$A$2:$A$1397))*COS(RADIANS($H39))),TA_AllSites_20220124!$B$2:$B$1397)</f>
        <v>-112.90875</v>
      </c>
      <c r="D39" s="7"/>
      <c r="E39" s="7"/>
      <c r="F39" s="7" t="s">
        <v>22</v>
      </c>
      <c r="G39" s="8">
        <v>316.0</v>
      </c>
      <c r="H39" s="9">
        <v>39.2922594444</v>
      </c>
      <c r="I39" s="9">
        <v>-113.037313333</v>
      </c>
      <c r="J39" s="10">
        <v>1462.26</v>
      </c>
      <c r="K39" s="11">
        <v>-11095.027</v>
      </c>
      <c r="L39" s="11">
        <v>-509.474</v>
      </c>
      <c r="M39" s="11">
        <v>82.559</v>
      </c>
      <c r="N39" s="11">
        <v>-11095.017</v>
      </c>
      <c r="O39" s="11">
        <v>-509.474</v>
      </c>
      <c r="P39" s="11">
        <v>76.819</v>
      </c>
      <c r="Q39" s="11">
        <v>1475.47</v>
      </c>
      <c r="R39" s="11">
        <v>-19.951</v>
      </c>
      <c r="S39" s="12">
        <v>0.89</v>
      </c>
      <c r="T39" s="13">
        <f t="shared" si="1"/>
        <v>1456.409</v>
      </c>
      <c r="U39" s="14">
        <f t="shared" si="2"/>
        <v>5.851</v>
      </c>
      <c r="V39" s="14">
        <f t="shared" si="3"/>
        <v>1.633893706</v>
      </c>
      <c r="W39" s="15" t="str">
        <f t="shared" si="4"/>
        <v/>
      </c>
      <c r="X39" s="11">
        <f t="shared" si="5"/>
        <v>1457.708</v>
      </c>
      <c r="Y39" s="14">
        <f t="shared" si="6"/>
        <v>-1.299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</row>
    <row r="40">
      <c r="A40" s="7" t="str">
        <f t="array" ref="A40">LOOKUP(1,1/FREQUENCY(0,SIN((RADIANS(TA_AllSites_20220124!$A$2:$A$1397-$H40))/2)^2+SIN((RADIANS(TA_AllSites_20220124!$B$2:$B$1397-$I40))/2)^2*COS(RADIANS(TA_AllSites_20220124!$A$2:$A$1397))*COS(RADIANS($H40))),TA_AllSites_20220124!$C$2:$C$1397)</f>
        <v>CLF</v>
      </c>
      <c r="B40" s="6">
        <f t="array" ref="B40">LOOKUP(1,1/FREQUENCY(0,SIN((RADIANS(TA_AllSites_20220124!$A$2:$A$1397-$H40))/2)^2+SIN((RADIANS(TA_AllSites_20220124!$B$2:$B$1397-$I40))/2)^2*COS(RADIANS(TA_AllSites_20220124!$A$2:$A$1397))*COS(RADIANS($H40))),TA_AllSites_20220124!$A$2:$A$1397)</f>
        <v>39.29693</v>
      </c>
      <c r="C40" s="6">
        <f t="array" ref="C40">LOOKUP(1,1/FREQUENCY(0,SIN((RADIANS(TA_AllSites_20220124!$A$2:$A$1397-$H40))/2)^2+SIN((RADIANS(TA_AllSites_20220124!$B$2:$B$1397-$I40))/2)^2*COS(RADIANS(TA_AllSites_20220124!$A$2:$A$1397))*COS(RADIANS($H40))),TA_AllSites_20220124!$B$2:$B$1397)</f>
        <v>-112.90875</v>
      </c>
      <c r="D40" s="7"/>
      <c r="E40" s="7"/>
      <c r="F40" s="7" t="s">
        <v>22</v>
      </c>
      <c r="G40" s="8">
        <v>317.0</v>
      </c>
      <c r="H40" s="9">
        <v>39.3030930556</v>
      </c>
      <c r="I40" s="9">
        <v>-113.037335</v>
      </c>
      <c r="J40" s="10">
        <v>1486.46</v>
      </c>
      <c r="K40" s="11">
        <v>-11095.257</v>
      </c>
      <c r="L40" s="11">
        <v>693.61</v>
      </c>
      <c r="M40" s="11">
        <v>106.741</v>
      </c>
      <c r="N40" s="11">
        <v>-11095.251</v>
      </c>
      <c r="O40" s="11">
        <v>693.609</v>
      </c>
      <c r="P40" s="11">
        <v>102.781</v>
      </c>
      <c r="Q40" s="11">
        <v>1501.43</v>
      </c>
      <c r="R40" s="11">
        <v>-19.932</v>
      </c>
      <c r="S40" s="12">
        <v>0.89</v>
      </c>
      <c r="T40" s="13">
        <f t="shared" si="1"/>
        <v>1482.388</v>
      </c>
      <c r="U40" s="14">
        <f t="shared" si="2"/>
        <v>4.072</v>
      </c>
      <c r="V40" s="14">
        <f t="shared" si="3"/>
        <v>-0.6037482517</v>
      </c>
      <c r="W40" s="15" t="str">
        <f t="shared" si="4"/>
        <v/>
      </c>
      <c r="X40" s="11">
        <f t="shared" si="5"/>
        <v>1481.908</v>
      </c>
      <c r="Y40" s="14">
        <f t="shared" si="6"/>
        <v>0.48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</row>
    <row r="41">
      <c r="A41" s="7" t="str">
        <f t="array" ref="A41">LOOKUP(1,1/FREQUENCY(0,SIN((RADIANS(TA_AllSites_20220124!$A$2:$A$1397-$H41))/2)^2+SIN((RADIANS(TA_AllSites_20220124!$B$2:$B$1397-$I41))/2)^2*COS(RADIANS(TA_AllSites_20220124!$A$2:$A$1397))*COS(RADIANS($H41))),TA_AllSites_20220124!$C$2:$C$1397)</f>
        <v>CLF</v>
      </c>
      <c r="B41" s="6">
        <f t="array" ref="B41">LOOKUP(1,1/FREQUENCY(0,SIN((RADIANS(TA_AllSites_20220124!$A$2:$A$1397-$H41))/2)^2+SIN((RADIANS(TA_AllSites_20220124!$B$2:$B$1397-$I41))/2)^2*COS(RADIANS(TA_AllSites_20220124!$A$2:$A$1397))*COS(RADIANS($H41))),TA_AllSites_20220124!$A$2:$A$1397)</f>
        <v>39.29693</v>
      </c>
      <c r="C41" s="6">
        <f t="array" ref="C41">LOOKUP(1,1/FREQUENCY(0,SIN((RADIANS(TA_AllSites_20220124!$A$2:$A$1397-$H41))/2)^2+SIN((RADIANS(TA_AllSites_20220124!$B$2:$B$1397-$I41))/2)^2*COS(RADIANS(TA_AllSites_20220124!$A$2:$A$1397))*COS(RADIANS($H41))),TA_AllSites_20220124!$B$2:$B$1397)</f>
        <v>-112.90875</v>
      </c>
      <c r="D41" s="7"/>
      <c r="E41" s="7"/>
      <c r="F41" s="7" t="s">
        <v>22</v>
      </c>
      <c r="G41" s="8">
        <v>318.0</v>
      </c>
      <c r="H41" s="9">
        <v>39.3139113889</v>
      </c>
      <c r="I41" s="9">
        <v>-113.037316944</v>
      </c>
      <c r="J41" s="10">
        <v>1490.84</v>
      </c>
      <c r="K41" s="11">
        <v>-11092.004</v>
      </c>
      <c r="L41" s="11">
        <v>1894.917</v>
      </c>
      <c r="M41" s="11">
        <v>110.882</v>
      </c>
      <c r="N41" s="11">
        <v>-11091.997</v>
      </c>
      <c r="O41" s="11">
        <v>1894.916</v>
      </c>
      <c r="P41" s="11">
        <v>106.582</v>
      </c>
      <c r="Q41" s="11">
        <v>1505.45</v>
      </c>
      <c r="R41" s="11">
        <v>-19.914</v>
      </c>
      <c r="S41" s="12">
        <v>0.89</v>
      </c>
      <c r="T41" s="13">
        <f t="shared" si="1"/>
        <v>1486.426</v>
      </c>
      <c r="U41" s="14">
        <f t="shared" si="2"/>
        <v>4.414</v>
      </c>
      <c r="V41" s="14">
        <f t="shared" si="3"/>
        <v>-0.1735776224</v>
      </c>
      <c r="W41" s="15" t="str">
        <f t="shared" si="4"/>
        <v/>
      </c>
      <c r="X41" s="11">
        <f t="shared" si="5"/>
        <v>1486.288</v>
      </c>
      <c r="Y41" s="14">
        <f t="shared" si="6"/>
        <v>0.138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</row>
    <row r="42">
      <c r="A42" s="7" t="str">
        <f t="array" ref="A42">LOOKUP(1,1/FREQUENCY(0,SIN((RADIANS(TA_AllSites_20220124!$A$2:$A$1397-$H42))/2)^2+SIN((RADIANS(TA_AllSites_20220124!$B$2:$B$1397-$I42))/2)^2*COS(RADIANS(TA_AllSites_20220124!$A$2:$A$1397))*COS(RADIANS($H42))),TA_AllSites_20220124!$C$2:$C$1397)</f>
        <v>CLF</v>
      </c>
      <c r="B42" s="6">
        <f t="array" ref="B42">LOOKUP(1,1/FREQUENCY(0,SIN((RADIANS(TA_AllSites_20220124!$A$2:$A$1397-$H42))/2)^2+SIN((RADIANS(TA_AllSites_20220124!$B$2:$B$1397-$I42))/2)^2*COS(RADIANS(TA_AllSites_20220124!$A$2:$A$1397))*COS(RADIANS($H42))),TA_AllSites_20220124!$A$2:$A$1397)</f>
        <v>39.29693</v>
      </c>
      <c r="C42" s="6">
        <f t="array" ref="C42">LOOKUP(1,1/FREQUENCY(0,SIN((RADIANS(TA_AllSites_20220124!$A$2:$A$1397-$H42))/2)^2+SIN((RADIANS(TA_AllSites_20220124!$B$2:$B$1397-$I42))/2)^2*COS(RADIANS(TA_AllSites_20220124!$A$2:$A$1397))*COS(RADIANS($H42))),TA_AllSites_20220124!$B$2:$B$1397)</f>
        <v>-112.90875</v>
      </c>
      <c r="D42" s="7"/>
      <c r="E42" s="7"/>
      <c r="F42" s="7" t="s">
        <v>22</v>
      </c>
      <c r="G42" s="8">
        <v>403.0</v>
      </c>
      <c r="H42" s="9">
        <v>39.1517725</v>
      </c>
      <c r="I42" s="9">
        <v>-113.023533611</v>
      </c>
      <c r="J42" s="10">
        <v>1399.41</v>
      </c>
      <c r="K42" s="11">
        <v>-9925.726</v>
      </c>
      <c r="L42" s="11">
        <v>-16111.187</v>
      </c>
      <c r="M42" s="11">
        <v>1.254</v>
      </c>
      <c r="N42" s="11">
        <v>-9925.718</v>
      </c>
      <c r="O42" s="11">
        <v>-16111.173</v>
      </c>
      <c r="P42" s="11">
        <v>-4.016</v>
      </c>
      <c r="Q42" s="11">
        <v>1413.3</v>
      </c>
      <c r="R42" s="11">
        <v>-20.157</v>
      </c>
      <c r="S42" s="12">
        <v>0.89</v>
      </c>
      <c r="T42" s="13">
        <f t="shared" si="1"/>
        <v>1394.033</v>
      </c>
      <c r="U42" s="14">
        <f t="shared" si="2"/>
        <v>5.377</v>
      </c>
      <c r="V42" s="14">
        <f t="shared" si="3"/>
        <v>1.037692308</v>
      </c>
      <c r="W42" s="15" t="str">
        <f t="shared" si="4"/>
        <v/>
      </c>
      <c r="X42" s="11">
        <f t="shared" si="5"/>
        <v>1394.858</v>
      </c>
      <c r="Y42" s="14">
        <f t="shared" si="6"/>
        <v>-0.825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</row>
    <row r="43">
      <c r="A43" s="7" t="str">
        <f t="array" ref="A43">LOOKUP(1,1/FREQUENCY(0,SIN((RADIANS(TA_AllSites_20220124!$A$2:$A$1397-$H43))/2)^2+SIN((RADIANS(TA_AllSites_20220124!$B$2:$B$1397-$I43))/2)^2*COS(RADIANS(TA_AllSites_20220124!$A$2:$A$1397))*COS(RADIANS($H43))),TA_AllSites_20220124!$C$2:$C$1397)</f>
        <v>CLF</v>
      </c>
      <c r="B43" s="6">
        <f t="array" ref="B43">LOOKUP(1,1/FREQUENCY(0,SIN((RADIANS(TA_AllSites_20220124!$A$2:$A$1397-$H43))/2)^2+SIN((RADIANS(TA_AllSites_20220124!$B$2:$B$1397-$I43))/2)^2*COS(RADIANS(TA_AllSites_20220124!$A$2:$A$1397))*COS(RADIANS($H43))),TA_AllSites_20220124!$A$2:$A$1397)</f>
        <v>39.29693</v>
      </c>
      <c r="C43" s="6">
        <f t="array" ref="C43">LOOKUP(1,1/FREQUENCY(0,SIN((RADIANS(TA_AllSites_20220124!$A$2:$A$1397-$H43))/2)^2+SIN((RADIANS(TA_AllSites_20220124!$B$2:$B$1397-$I43))/2)^2*COS(RADIANS(TA_AllSites_20220124!$A$2:$A$1397))*COS(RADIANS($H43))),TA_AllSites_20220124!$B$2:$B$1397)</f>
        <v>-112.90875</v>
      </c>
      <c r="D43" s="7"/>
      <c r="E43" s="7"/>
      <c r="F43" s="7" t="s">
        <v>22</v>
      </c>
      <c r="G43" s="8">
        <v>404.0</v>
      </c>
      <c r="H43" s="9">
        <v>39.1623266667</v>
      </c>
      <c r="I43" s="9">
        <v>-113.022940833</v>
      </c>
      <c r="J43" s="10">
        <v>1409.93</v>
      </c>
      <c r="K43" s="11">
        <v>-9872.997</v>
      </c>
      <c r="L43" s="11">
        <v>-14939.334</v>
      </c>
      <c r="M43" s="11">
        <v>14.715</v>
      </c>
      <c r="N43" s="11">
        <v>-9872.989</v>
      </c>
      <c r="O43" s="11">
        <v>-14939.323</v>
      </c>
      <c r="P43" s="11">
        <v>10.085</v>
      </c>
      <c r="Q43" s="11">
        <v>1424.44</v>
      </c>
      <c r="R43" s="11">
        <v>-20.14</v>
      </c>
      <c r="S43" s="12">
        <v>0.89</v>
      </c>
      <c r="T43" s="13">
        <f t="shared" si="1"/>
        <v>1405.19</v>
      </c>
      <c r="U43" s="14">
        <f t="shared" si="2"/>
        <v>4.74</v>
      </c>
      <c r="V43" s="14">
        <f t="shared" si="3"/>
        <v>0.2364680653</v>
      </c>
      <c r="W43" s="15" t="str">
        <f t="shared" si="4"/>
        <v/>
      </c>
      <c r="X43" s="11">
        <f t="shared" si="5"/>
        <v>1405.378</v>
      </c>
      <c r="Y43" s="14">
        <f t="shared" si="6"/>
        <v>-0.188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</row>
    <row r="44">
      <c r="A44" s="7" t="str">
        <f t="array" ref="A44">LOOKUP(1,1/FREQUENCY(0,SIN((RADIANS(TA_AllSites_20220124!$A$2:$A$1397-$H44))/2)^2+SIN((RADIANS(TA_AllSites_20220124!$B$2:$B$1397-$I44))/2)^2*COS(RADIANS(TA_AllSites_20220124!$A$2:$A$1397))*COS(RADIANS($H44))),TA_AllSites_20220124!$C$2:$C$1397)</f>
        <v>CLF</v>
      </c>
      <c r="B44" s="6">
        <f t="array" ref="B44">LOOKUP(1,1/FREQUENCY(0,SIN((RADIANS(TA_AllSites_20220124!$A$2:$A$1397-$H44))/2)^2+SIN((RADIANS(TA_AllSites_20220124!$B$2:$B$1397-$I44))/2)^2*COS(RADIANS(TA_AllSites_20220124!$A$2:$A$1397))*COS(RADIANS($H44))),TA_AllSites_20220124!$A$2:$A$1397)</f>
        <v>39.29693</v>
      </c>
      <c r="C44" s="6">
        <f t="array" ref="C44">LOOKUP(1,1/FREQUENCY(0,SIN((RADIANS(TA_AllSites_20220124!$A$2:$A$1397-$H44))/2)^2+SIN((RADIANS(TA_AllSites_20220124!$B$2:$B$1397-$I44))/2)^2*COS(RADIANS(TA_AllSites_20220124!$A$2:$A$1397))*COS(RADIANS($H44))),TA_AllSites_20220124!$B$2:$B$1397)</f>
        <v>-112.90875</v>
      </c>
      <c r="D44" s="7"/>
      <c r="E44" s="7"/>
      <c r="F44" s="7" t="s">
        <v>22</v>
      </c>
      <c r="G44" s="8">
        <v>405.0</v>
      </c>
      <c r="H44" s="9">
        <v>39.1732952778</v>
      </c>
      <c r="I44" s="9">
        <v>-113.023420278</v>
      </c>
      <c r="J44" s="10">
        <v>1420.03</v>
      </c>
      <c r="K44" s="11">
        <v>-9912.881</v>
      </c>
      <c r="L44" s="11">
        <v>-13721.385</v>
      </c>
      <c r="M44" s="11">
        <v>27.497</v>
      </c>
      <c r="N44" s="11">
        <v>-9912.873</v>
      </c>
      <c r="O44" s="11">
        <v>-13721.375</v>
      </c>
      <c r="P44" s="11">
        <v>22.837</v>
      </c>
      <c r="Q44" s="11">
        <v>1434.49</v>
      </c>
      <c r="R44" s="11">
        <v>-20.122</v>
      </c>
      <c r="S44" s="12">
        <v>0.89</v>
      </c>
      <c r="T44" s="13">
        <f t="shared" si="1"/>
        <v>1415.258</v>
      </c>
      <c r="U44" s="14">
        <f t="shared" si="2"/>
        <v>4.772</v>
      </c>
      <c r="V44" s="14">
        <f t="shared" si="3"/>
        <v>0.2767179487</v>
      </c>
      <c r="W44" s="15" t="str">
        <f t="shared" si="4"/>
        <v/>
      </c>
      <c r="X44" s="11">
        <f t="shared" si="5"/>
        <v>1415.478</v>
      </c>
      <c r="Y44" s="14">
        <f t="shared" si="6"/>
        <v>-0.22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</row>
    <row r="45">
      <c r="A45" s="7" t="str">
        <f t="array" ref="A45">LOOKUP(1,1/FREQUENCY(0,SIN((RADIANS(TA_AllSites_20220124!$A$2:$A$1397-$H45))/2)^2+SIN((RADIANS(TA_AllSites_20220124!$B$2:$B$1397-$I45))/2)^2*COS(RADIANS(TA_AllSites_20220124!$A$2:$A$1397))*COS(RADIANS($H45))),TA_AllSites_20220124!$C$2:$C$1397)</f>
        <v>CLF</v>
      </c>
      <c r="B45" s="6">
        <f t="array" ref="B45">LOOKUP(1,1/FREQUENCY(0,SIN((RADIANS(TA_AllSites_20220124!$A$2:$A$1397-$H45))/2)^2+SIN((RADIANS(TA_AllSites_20220124!$B$2:$B$1397-$I45))/2)^2*COS(RADIANS(TA_AllSites_20220124!$A$2:$A$1397))*COS(RADIANS($H45))),TA_AllSites_20220124!$A$2:$A$1397)</f>
        <v>39.29693</v>
      </c>
      <c r="C45" s="6">
        <f t="array" ref="C45">LOOKUP(1,1/FREQUENCY(0,SIN((RADIANS(TA_AllSites_20220124!$A$2:$A$1397-$H45))/2)^2+SIN((RADIANS(TA_AllSites_20220124!$B$2:$B$1397-$I45))/2)^2*COS(RADIANS(TA_AllSites_20220124!$A$2:$A$1397))*COS(RADIANS($H45))),TA_AllSites_20220124!$B$2:$B$1397)</f>
        <v>-112.90875</v>
      </c>
      <c r="D45" s="7"/>
      <c r="E45" s="7"/>
      <c r="F45" s="7" t="s">
        <v>22</v>
      </c>
      <c r="G45" s="8">
        <v>406.0</v>
      </c>
      <c r="H45" s="9">
        <v>39.1847730556</v>
      </c>
      <c r="I45" s="9">
        <v>-113.024338889</v>
      </c>
      <c r="J45" s="10">
        <v>1428.74</v>
      </c>
      <c r="K45" s="11">
        <v>-9990.702</v>
      </c>
      <c r="L45" s="11">
        <v>-12446.745</v>
      </c>
      <c r="M45" s="11">
        <v>38.707</v>
      </c>
      <c r="N45" s="11">
        <v>-9990.694</v>
      </c>
      <c r="O45" s="11">
        <v>-12446.735</v>
      </c>
      <c r="P45" s="11">
        <v>33.647</v>
      </c>
      <c r="Q45" s="11">
        <v>1442.78</v>
      </c>
      <c r="R45" s="11">
        <v>-20.104</v>
      </c>
      <c r="S45" s="12">
        <v>0.89</v>
      </c>
      <c r="T45" s="13">
        <f t="shared" si="1"/>
        <v>1423.566</v>
      </c>
      <c r="U45" s="14">
        <f t="shared" si="2"/>
        <v>5.174</v>
      </c>
      <c r="V45" s="14">
        <f t="shared" si="3"/>
        <v>0.7823571096</v>
      </c>
      <c r="W45" s="15" t="str">
        <f t="shared" si="4"/>
        <v/>
      </c>
      <c r="X45" s="11">
        <f t="shared" si="5"/>
        <v>1424.188</v>
      </c>
      <c r="Y45" s="14">
        <f t="shared" si="6"/>
        <v>-0.622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</row>
    <row r="46">
      <c r="A46" s="7" t="str">
        <f t="array" ref="A46">LOOKUP(1,1/FREQUENCY(0,SIN((RADIANS(TA_AllSites_20220124!$A$2:$A$1397-$H46))/2)^2+SIN((RADIANS(TA_AllSites_20220124!$B$2:$B$1397-$I46))/2)^2*COS(RADIANS(TA_AllSites_20220124!$A$2:$A$1397))*COS(RADIANS($H46))),TA_AllSites_20220124!$C$2:$C$1397)</f>
        <v>CLF</v>
      </c>
      <c r="B46" s="6">
        <f t="array" ref="B46">LOOKUP(1,1/FREQUENCY(0,SIN((RADIANS(TA_AllSites_20220124!$A$2:$A$1397-$H46))/2)^2+SIN((RADIANS(TA_AllSites_20220124!$B$2:$B$1397-$I46))/2)^2*COS(RADIANS(TA_AllSites_20220124!$A$2:$A$1397))*COS(RADIANS($H46))),TA_AllSites_20220124!$A$2:$A$1397)</f>
        <v>39.29693</v>
      </c>
      <c r="C46" s="6">
        <f t="array" ref="C46">LOOKUP(1,1/FREQUENCY(0,SIN((RADIANS(TA_AllSites_20220124!$A$2:$A$1397-$H46))/2)^2+SIN((RADIANS(TA_AllSites_20220124!$B$2:$B$1397-$I46))/2)^2*COS(RADIANS(TA_AllSites_20220124!$A$2:$A$1397))*COS(RADIANS($H46))),TA_AllSites_20220124!$B$2:$B$1397)</f>
        <v>-112.90875</v>
      </c>
      <c r="D46" s="7"/>
      <c r="E46" s="7"/>
      <c r="F46" s="7" t="s">
        <v>22</v>
      </c>
      <c r="G46" s="8">
        <v>407.0</v>
      </c>
      <c r="H46" s="9">
        <v>39.1949530556</v>
      </c>
      <c r="I46" s="9">
        <v>-113.023414167</v>
      </c>
      <c r="J46" s="10">
        <v>1432.37</v>
      </c>
      <c r="K46" s="11">
        <v>-9909.34</v>
      </c>
      <c r="L46" s="11">
        <v>-11316.428</v>
      </c>
      <c r="M46" s="11">
        <v>44.574</v>
      </c>
      <c r="N46" s="11">
        <v>-9909.335</v>
      </c>
      <c r="O46" s="11">
        <v>-11316.422</v>
      </c>
      <c r="P46" s="11">
        <v>41.594</v>
      </c>
      <c r="Q46" s="11">
        <v>1448.48</v>
      </c>
      <c r="R46" s="11">
        <v>-20.089</v>
      </c>
      <c r="S46" s="12">
        <v>0.89</v>
      </c>
      <c r="T46" s="13">
        <f t="shared" si="1"/>
        <v>1429.281</v>
      </c>
      <c r="U46" s="14">
        <f t="shared" si="2"/>
        <v>3.089</v>
      </c>
      <c r="V46" s="14">
        <f t="shared" si="3"/>
        <v>-1.840174359</v>
      </c>
      <c r="W46" s="15" t="str">
        <f t="shared" si="4"/>
        <v/>
      </c>
      <c r="X46" s="11">
        <f t="shared" si="5"/>
        <v>1427.818</v>
      </c>
      <c r="Y46" s="14">
        <f t="shared" si="6"/>
        <v>1.463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</row>
    <row r="47">
      <c r="A47" s="7" t="str">
        <f t="array" ref="A47">LOOKUP(1,1/FREQUENCY(0,SIN((RADIANS(TA_AllSites_20220124!$A$2:$A$1397-$H47))/2)^2+SIN((RADIANS(TA_AllSites_20220124!$B$2:$B$1397-$I47))/2)^2*COS(RADIANS(TA_AllSites_20220124!$A$2:$A$1397))*COS(RADIANS($H47))),TA_AllSites_20220124!$C$2:$C$1397)</f>
        <v>CLF</v>
      </c>
      <c r="B47" s="6">
        <f t="array" ref="B47">LOOKUP(1,1/FREQUENCY(0,SIN((RADIANS(TA_AllSites_20220124!$A$2:$A$1397-$H47))/2)^2+SIN((RADIANS(TA_AllSites_20220124!$B$2:$B$1397-$I47))/2)^2*COS(RADIANS(TA_AllSites_20220124!$A$2:$A$1397))*COS(RADIANS($H47))),TA_AllSites_20220124!$A$2:$A$1397)</f>
        <v>39.29693</v>
      </c>
      <c r="C47" s="6">
        <f t="array" ref="C47">LOOKUP(1,1/FREQUENCY(0,SIN((RADIANS(TA_AllSites_20220124!$A$2:$A$1397-$H47))/2)^2+SIN((RADIANS(TA_AllSites_20220124!$B$2:$B$1397-$I47))/2)^2*COS(RADIANS(TA_AllSites_20220124!$A$2:$A$1397))*COS(RADIANS($H47))),TA_AllSites_20220124!$B$2:$B$1397)</f>
        <v>-112.90875</v>
      </c>
      <c r="D47" s="7"/>
      <c r="E47" s="7"/>
      <c r="F47" s="7" t="s">
        <v>22</v>
      </c>
      <c r="G47" s="8">
        <v>408.0</v>
      </c>
      <c r="H47" s="9">
        <v>39.2057616667</v>
      </c>
      <c r="I47" s="9">
        <v>-113.023421389</v>
      </c>
      <c r="J47" s="10">
        <v>1439.72</v>
      </c>
      <c r="K47" s="11">
        <v>-9908.437</v>
      </c>
      <c r="L47" s="11">
        <v>-10116.163</v>
      </c>
      <c r="M47" s="11">
        <v>53.947</v>
      </c>
      <c r="N47" s="11">
        <v>-9908.429</v>
      </c>
      <c r="O47" s="11">
        <v>-10116.155</v>
      </c>
      <c r="P47" s="11">
        <v>48.797</v>
      </c>
      <c r="Q47" s="11">
        <v>1453.64</v>
      </c>
      <c r="R47" s="11">
        <v>-20.073</v>
      </c>
      <c r="S47" s="12">
        <v>0.89</v>
      </c>
      <c r="T47" s="13">
        <f t="shared" si="1"/>
        <v>1434.457</v>
      </c>
      <c r="U47" s="14">
        <f t="shared" si="2"/>
        <v>5.263</v>
      </c>
      <c r="V47" s="14">
        <f t="shared" si="3"/>
        <v>0.8943020979</v>
      </c>
      <c r="W47" s="15" t="str">
        <f t="shared" si="4"/>
        <v/>
      </c>
      <c r="X47" s="11">
        <f t="shared" si="5"/>
        <v>1435.168</v>
      </c>
      <c r="Y47" s="14">
        <f t="shared" si="6"/>
        <v>-0.711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</row>
    <row r="48">
      <c r="A48" s="7" t="str">
        <f t="array" ref="A48">LOOKUP(1,1/FREQUENCY(0,SIN((RADIANS(TA_AllSites_20220124!$A$2:$A$1397-$H48))/2)^2+SIN((RADIANS(TA_AllSites_20220124!$B$2:$B$1397-$I48))/2)^2*COS(RADIANS(TA_AllSites_20220124!$A$2:$A$1397))*COS(RADIANS($H48))),TA_AllSites_20220124!$C$2:$C$1397)</f>
        <v>CLF</v>
      </c>
      <c r="B48" s="6">
        <f t="array" ref="B48">LOOKUP(1,1/FREQUENCY(0,SIN((RADIANS(TA_AllSites_20220124!$A$2:$A$1397-$H48))/2)^2+SIN((RADIANS(TA_AllSites_20220124!$B$2:$B$1397-$I48))/2)^2*COS(RADIANS(TA_AllSites_20220124!$A$2:$A$1397))*COS(RADIANS($H48))),TA_AllSites_20220124!$A$2:$A$1397)</f>
        <v>39.29693</v>
      </c>
      <c r="C48" s="6">
        <f t="array" ref="C48">LOOKUP(1,1/FREQUENCY(0,SIN((RADIANS(TA_AllSites_20220124!$A$2:$A$1397-$H48))/2)^2+SIN((RADIANS(TA_AllSites_20220124!$B$2:$B$1397-$I48))/2)^2*COS(RADIANS(TA_AllSites_20220124!$A$2:$A$1397))*COS(RADIANS($H48))),TA_AllSites_20220124!$B$2:$B$1397)</f>
        <v>-112.90875</v>
      </c>
      <c r="D48" s="7"/>
      <c r="E48" s="7"/>
      <c r="F48" s="7" t="s">
        <v>22</v>
      </c>
      <c r="G48" s="8">
        <v>409.0</v>
      </c>
      <c r="H48" s="9">
        <v>39.2165927778</v>
      </c>
      <c r="I48" s="9">
        <v>-113.023444722</v>
      </c>
      <c r="J48" s="10">
        <v>1429.0</v>
      </c>
      <c r="K48" s="11">
        <v>-9908.972</v>
      </c>
      <c r="L48" s="11">
        <v>-8913.423</v>
      </c>
      <c r="M48" s="11">
        <v>45.025</v>
      </c>
      <c r="N48" s="11">
        <v>-9908.966</v>
      </c>
      <c r="O48" s="11">
        <v>-8913.418</v>
      </c>
      <c r="P48" s="11">
        <v>41.295</v>
      </c>
      <c r="Q48" s="11">
        <v>1444.33</v>
      </c>
      <c r="R48" s="11">
        <v>-20.059</v>
      </c>
      <c r="S48" s="12">
        <v>0.89</v>
      </c>
      <c r="T48" s="13">
        <f t="shared" si="1"/>
        <v>1425.161</v>
      </c>
      <c r="U48" s="14">
        <f t="shared" si="2"/>
        <v>3.839</v>
      </c>
      <c r="V48" s="14">
        <f t="shared" si="3"/>
        <v>-0.8968177156</v>
      </c>
      <c r="W48" s="15" t="str">
        <f t="shared" si="4"/>
        <v/>
      </c>
      <c r="X48" s="11">
        <f t="shared" si="5"/>
        <v>1424.448</v>
      </c>
      <c r="Y48" s="14">
        <f t="shared" si="6"/>
        <v>0.713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</row>
    <row r="49">
      <c r="A49" s="7"/>
      <c r="B49" s="7"/>
      <c r="C49" s="7"/>
      <c r="D49" s="7"/>
      <c r="E49" s="7"/>
      <c r="F49" s="7" t="s">
        <v>22</v>
      </c>
      <c r="G49" s="8">
        <v>410.0</v>
      </c>
      <c r="H49" s="9">
        <v>39.2273797222</v>
      </c>
      <c r="I49" s="9">
        <v>-113.023435278</v>
      </c>
      <c r="J49" s="10">
        <v>1423.22</v>
      </c>
      <c r="K49" s="11">
        <v>-9906.583</v>
      </c>
      <c r="L49" s="11">
        <v>-7715.581</v>
      </c>
      <c r="M49" s="11">
        <v>40.814</v>
      </c>
      <c r="N49" s="11">
        <v>-9906.578</v>
      </c>
      <c r="O49" s="11">
        <v>-7715.577</v>
      </c>
      <c r="P49" s="11">
        <v>37.564</v>
      </c>
      <c r="Q49" s="11">
        <v>1439.01</v>
      </c>
      <c r="R49" s="11">
        <v>-20.045</v>
      </c>
      <c r="S49" s="12">
        <v>0.89</v>
      </c>
      <c r="T49" s="13">
        <f t="shared" si="1"/>
        <v>1419.855</v>
      </c>
      <c r="U49" s="14">
        <f t="shared" si="2"/>
        <v>3.365</v>
      </c>
      <c r="V49" s="14">
        <f t="shared" si="3"/>
        <v>-1.493019114</v>
      </c>
      <c r="W49" s="15" t="str">
        <f t="shared" si="4"/>
        <v/>
      </c>
      <c r="X49" s="11">
        <f t="shared" si="5"/>
        <v>1418.668</v>
      </c>
      <c r="Y49" s="14">
        <f t="shared" si="6"/>
        <v>1.187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</row>
    <row r="50">
      <c r="A50" s="7"/>
      <c r="B50" s="7"/>
      <c r="C50" s="7"/>
      <c r="D50" s="7"/>
      <c r="E50" s="7"/>
      <c r="F50" s="7" t="s">
        <v>22</v>
      </c>
      <c r="G50" s="8">
        <v>411.0</v>
      </c>
      <c r="H50" s="9">
        <v>39.2382291667</v>
      </c>
      <c r="I50" s="9">
        <v>-113.023318889</v>
      </c>
      <c r="J50" s="10">
        <v>1427.55</v>
      </c>
      <c r="K50" s="11">
        <v>-9895.047</v>
      </c>
      <c r="L50" s="11">
        <v>-6510.875</v>
      </c>
      <c r="M50" s="11">
        <v>46.509</v>
      </c>
      <c r="N50" s="11">
        <v>-9895.041</v>
      </c>
      <c r="O50" s="11">
        <v>-6510.871</v>
      </c>
      <c r="P50" s="11">
        <v>42.519</v>
      </c>
      <c r="Q50" s="11">
        <v>1442.59</v>
      </c>
      <c r="R50" s="11">
        <v>-20.031</v>
      </c>
      <c r="S50" s="12">
        <v>0.89</v>
      </c>
      <c r="T50" s="13">
        <f t="shared" si="1"/>
        <v>1423.449</v>
      </c>
      <c r="U50" s="14">
        <f t="shared" si="2"/>
        <v>4.101</v>
      </c>
      <c r="V50" s="14">
        <f t="shared" si="3"/>
        <v>-0.5672717949</v>
      </c>
      <c r="W50" s="15" t="str">
        <f t="shared" si="4"/>
        <v/>
      </c>
      <c r="X50" s="11">
        <f t="shared" si="5"/>
        <v>1422.998</v>
      </c>
      <c r="Y50" s="14">
        <f t="shared" si="6"/>
        <v>0.451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</row>
    <row r="51">
      <c r="A51" s="7"/>
      <c r="B51" s="7"/>
      <c r="C51" s="7"/>
      <c r="D51" s="7"/>
      <c r="E51" s="7"/>
      <c r="F51" s="7" t="s">
        <v>22</v>
      </c>
      <c r="G51" s="8">
        <v>412.0</v>
      </c>
      <c r="H51" s="9">
        <v>39.2490638889</v>
      </c>
      <c r="I51" s="9">
        <v>-113.023535278</v>
      </c>
      <c r="J51" s="10">
        <v>1431.78</v>
      </c>
      <c r="K51" s="11">
        <v>-9912.181</v>
      </c>
      <c r="L51" s="11">
        <v>-5307.683</v>
      </c>
      <c r="M51" s="11">
        <v>51.83</v>
      </c>
      <c r="N51" s="11">
        <v>-9912.174</v>
      </c>
      <c r="O51" s="11">
        <v>-5307.679</v>
      </c>
      <c r="P51" s="11">
        <v>46.97</v>
      </c>
      <c r="Q51" s="11">
        <v>1445.94</v>
      </c>
      <c r="R51" s="11">
        <v>-20.018</v>
      </c>
      <c r="S51" s="12">
        <v>0.89</v>
      </c>
      <c r="T51" s="13">
        <f t="shared" si="1"/>
        <v>1426.812</v>
      </c>
      <c r="U51" s="14">
        <f t="shared" si="2"/>
        <v>4.968</v>
      </c>
      <c r="V51" s="14">
        <f t="shared" si="3"/>
        <v>0.5232484848</v>
      </c>
      <c r="W51" s="15" t="str">
        <f t="shared" si="4"/>
        <v/>
      </c>
      <c r="X51" s="11">
        <f t="shared" si="5"/>
        <v>1427.228</v>
      </c>
      <c r="Y51" s="14">
        <f t="shared" si="6"/>
        <v>-0.416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</row>
    <row r="52">
      <c r="A52" s="7"/>
      <c r="B52" s="7"/>
      <c r="C52" s="7"/>
      <c r="D52" s="7"/>
      <c r="E52" s="7"/>
      <c r="F52" s="7" t="s">
        <v>22</v>
      </c>
      <c r="G52" s="8">
        <v>413.0</v>
      </c>
      <c r="H52" s="9">
        <v>39.2597802778</v>
      </c>
      <c r="I52" s="9">
        <v>-113.023365</v>
      </c>
      <c r="J52" s="10">
        <v>1435.52</v>
      </c>
      <c r="K52" s="11">
        <v>-9896.003</v>
      </c>
      <c r="L52" s="11">
        <v>-4117.744</v>
      </c>
      <c r="M52" s="11">
        <v>56.476</v>
      </c>
      <c r="N52" s="11">
        <v>-9895.994</v>
      </c>
      <c r="O52" s="11">
        <v>-4117.74</v>
      </c>
      <c r="P52" s="11">
        <v>51.186</v>
      </c>
      <c r="Q52" s="11">
        <v>1449.23</v>
      </c>
      <c r="R52" s="11">
        <v>-20.005</v>
      </c>
      <c r="S52" s="12">
        <v>0.89</v>
      </c>
      <c r="T52" s="13">
        <f t="shared" si="1"/>
        <v>1430.115</v>
      </c>
      <c r="U52" s="14">
        <f t="shared" si="2"/>
        <v>5.405</v>
      </c>
      <c r="V52" s="14">
        <f t="shared" si="3"/>
        <v>1.072910956</v>
      </c>
      <c r="W52" s="15" t="str">
        <f t="shared" si="4"/>
        <v/>
      </c>
      <c r="X52" s="11">
        <f t="shared" si="5"/>
        <v>1430.968</v>
      </c>
      <c r="Y52" s="14">
        <f t="shared" si="6"/>
        <v>-0.853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</row>
    <row r="53">
      <c r="A53" s="7"/>
      <c r="B53" s="7"/>
      <c r="C53" s="7"/>
      <c r="D53" s="7"/>
      <c r="E53" s="7"/>
      <c r="F53" s="7" t="s">
        <v>22</v>
      </c>
      <c r="G53" s="8">
        <v>414.0</v>
      </c>
      <c r="H53" s="9">
        <v>39.270595</v>
      </c>
      <c r="I53" s="9">
        <v>-113.023379167</v>
      </c>
      <c r="J53" s="10">
        <v>1426.57</v>
      </c>
      <c r="K53" s="11">
        <v>-9895.676</v>
      </c>
      <c r="L53" s="11">
        <v>-2916.781</v>
      </c>
      <c r="M53" s="11">
        <v>48.191</v>
      </c>
      <c r="N53" s="11">
        <v>-9895.669</v>
      </c>
      <c r="O53" s="11">
        <v>-2916.779</v>
      </c>
      <c r="P53" s="11">
        <v>43.481</v>
      </c>
      <c r="Q53" s="11">
        <v>1440.85</v>
      </c>
      <c r="R53" s="11">
        <v>-19.99</v>
      </c>
      <c r="S53" s="12">
        <v>0.89</v>
      </c>
      <c r="T53" s="13">
        <f t="shared" si="1"/>
        <v>1421.75</v>
      </c>
      <c r="U53" s="14">
        <f t="shared" si="2"/>
        <v>4.82</v>
      </c>
      <c r="V53" s="14">
        <f t="shared" si="3"/>
        <v>0.3370927739</v>
      </c>
      <c r="W53" s="15" t="str">
        <f t="shared" si="4"/>
        <v/>
      </c>
      <c r="X53" s="11">
        <f t="shared" si="5"/>
        <v>1422.018</v>
      </c>
      <c r="Y53" s="14">
        <f t="shared" si="6"/>
        <v>-0.268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</row>
    <row r="54">
      <c r="A54" s="7"/>
      <c r="B54" s="7"/>
      <c r="C54" s="7"/>
      <c r="D54" s="7"/>
      <c r="E54" s="7"/>
      <c r="F54" s="7" t="s">
        <v>22</v>
      </c>
      <c r="G54" s="8">
        <v>415.0</v>
      </c>
      <c r="H54" s="9">
        <v>39.2814663889</v>
      </c>
      <c r="I54" s="9">
        <v>-113.023411389</v>
      </c>
      <c r="J54" s="10">
        <v>1426.55</v>
      </c>
      <c r="K54" s="11">
        <v>-9896.909</v>
      </c>
      <c r="L54" s="11">
        <v>-1709.601</v>
      </c>
      <c r="M54" s="11">
        <v>48.608</v>
      </c>
      <c r="N54" s="11">
        <v>-9896.902</v>
      </c>
      <c r="O54" s="11">
        <v>-1709.6</v>
      </c>
      <c r="P54" s="11">
        <v>43.948</v>
      </c>
      <c r="Q54" s="11">
        <v>1440.86</v>
      </c>
      <c r="R54" s="11">
        <v>-19.975</v>
      </c>
      <c r="S54" s="12">
        <v>0.89</v>
      </c>
      <c r="T54" s="13">
        <f t="shared" si="1"/>
        <v>1421.775</v>
      </c>
      <c r="U54" s="14">
        <f t="shared" si="2"/>
        <v>4.775</v>
      </c>
      <c r="V54" s="14">
        <f t="shared" si="3"/>
        <v>0.2804913753</v>
      </c>
      <c r="W54" s="15" t="str">
        <f t="shared" si="4"/>
        <v/>
      </c>
      <c r="X54" s="11">
        <f t="shared" si="5"/>
        <v>1421.998</v>
      </c>
      <c r="Y54" s="14">
        <f t="shared" si="6"/>
        <v>-0.223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</row>
    <row r="55">
      <c r="A55" s="7"/>
      <c r="B55" s="7"/>
      <c r="C55" s="7"/>
      <c r="D55" s="7"/>
      <c r="E55" s="7"/>
      <c r="F55" s="7" t="s">
        <v>22</v>
      </c>
      <c r="G55" s="8">
        <v>416.0</v>
      </c>
      <c r="H55" s="9">
        <v>39.2919980556</v>
      </c>
      <c r="I55" s="9">
        <v>-113.023406111</v>
      </c>
      <c r="J55" s="10">
        <v>1433.06</v>
      </c>
      <c r="K55" s="11">
        <v>-9895.005</v>
      </c>
      <c r="L55" s="11">
        <v>-540.068</v>
      </c>
      <c r="M55" s="11">
        <v>55.328</v>
      </c>
      <c r="N55" s="11">
        <v>-9894.996</v>
      </c>
      <c r="O55" s="11">
        <v>-540.068</v>
      </c>
      <c r="P55" s="11">
        <v>49.188</v>
      </c>
      <c r="Q55" s="11">
        <v>1445.88</v>
      </c>
      <c r="R55" s="11">
        <v>-19.958</v>
      </c>
      <c r="S55" s="12">
        <v>0.89</v>
      </c>
      <c r="T55" s="13">
        <f t="shared" si="1"/>
        <v>1426.812</v>
      </c>
      <c r="U55" s="14">
        <f t="shared" si="2"/>
        <v>6.248</v>
      </c>
      <c r="V55" s="14">
        <f t="shared" si="3"/>
        <v>2.133243823</v>
      </c>
      <c r="W55" s="15" t="str">
        <f t="shared" si="4"/>
        <v/>
      </c>
      <c r="X55" s="11">
        <f t="shared" si="5"/>
        <v>1428.508</v>
      </c>
      <c r="Y55" s="14">
        <f t="shared" si="6"/>
        <v>-1.696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</row>
    <row r="56">
      <c r="A56" s="7"/>
      <c r="B56" s="7"/>
      <c r="C56" s="7"/>
      <c r="D56" s="7"/>
      <c r="E56" s="7"/>
      <c r="F56" s="7" t="s">
        <v>22</v>
      </c>
      <c r="G56" s="8">
        <v>417.0</v>
      </c>
      <c r="H56" s="9">
        <v>39.3030594444</v>
      </c>
      <c r="I56" s="9">
        <v>-113.023402222</v>
      </c>
      <c r="J56" s="10">
        <v>1440.34</v>
      </c>
      <c r="K56" s="11">
        <v>-9893.114</v>
      </c>
      <c r="L56" s="11">
        <v>688.213</v>
      </c>
      <c r="M56" s="11">
        <v>62.596</v>
      </c>
      <c r="N56" s="11">
        <v>-9893.109</v>
      </c>
      <c r="O56" s="11">
        <v>688.212</v>
      </c>
      <c r="P56" s="11">
        <v>59.326</v>
      </c>
      <c r="Q56" s="11">
        <v>1456.01</v>
      </c>
      <c r="R56" s="11">
        <v>-19.939</v>
      </c>
      <c r="S56" s="12">
        <v>0.89</v>
      </c>
      <c r="T56" s="13">
        <f t="shared" si="1"/>
        <v>1436.961</v>
      </c>
      <c r="U56" s="14">
        <f t="shared" si="2"/>
        <v>3.379</v>
      </c>
      <c r="V56" s="14">
        <f t="shared" si="3"/>
        <v>-1.47540979</v>
      </c>
      <c r="W56" s="15" t="str">
        <f t="shared" si="4"/>
        <v/>
      </c>
      <c r="X56" s="11">
        <f t="shared" si="5"/>
        <v>1435.788</v>
      </c>
      <c r="Y56" s="14">
        <f t="shared" si="6"/>
        <v>1.173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</row>
    <row r="57">
      <c r="A57" s="7"/>
      <c r="B57" s="7"/>
      <c r="C57" s="7"/>
      <c r="D57" s="7"/>
      <c r="E57" s="7"/>
      <c r="F57" s="7" t="s">
        <v>22</v>
      </c>
      <c r="G57" s="8">
        <v>418.0</v>
      </c>
      <c r="H57" s="9">
        <v>39.3138530556</v>
      </c>
      <c r="I57" s="9">
        <v>-113.023407778</v>
      </c>
      <c r="J57" s="10">
        <v>1448.09</v>
      </c>
      <c r="K57" s="11">
        <v>-9892.124</v>
      </c>
      <c r="L57" s="11">
        <v>1886.851</v>
      </c>
      <c r="M57" s="11">
        <v>70.105</v>
      </c>
      <c r="N57" s="11">
        <v>-9892.116</v>
      </c>
      <c r="O57" s="11">
        <v>1886.849</v>
      </c>
      <c r="P57" s="11">
        <v>64.525</v>
      </c>
      <c r="Q57" s="11">
        <v>1461.43</v>
      </c>
      <c r="R57" s="11">
        <v>-19.919</v>
      </c>
      <c r="S57" s="12">
        <v>0.89</v>
      </c>
      <c r="T57" s="13">
        <f t="shared" si="1"/>
        <v>1442.401</v>
      </c>
      <c r="U57" s="14">
        <f t="shared" si="2"/>
        <v>5.689</v>
      </c>
      <c r="V57" s="14">
        <f t="shared" si="3"/>
        <v>1.430128671</v>
      </c>
      <c r="W57" s="15" t="str">
        <f t="shared" si="4"/>
        <v/>
      </c>
      <c r="X57" s="11">
        <f t="shared" si="5"/>
        <v>1443.538</v>
      </c>
      <c r="Y57" s="14">
        <f t="shared" si="6"/>
        <v>-1.137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</row>
    <row r="58">
      <c r="A58" s="7"/>
      <c r="B58" s="7"/>
      <c r="C58" s="7"/>
      <c r="D58" s="7"/>
      <c r="E58" s="7"/>
      <c r="F58" s="7" t="s">
        <v>22</v>
      </c>
      <c r="G58" s="8">
        <v>419.0</v>
      </c>
      <c r="H58" s="9">
        <v>39.3246536111</v>
      </c>
      <c r="I58" s="9">
        <v>-113.023074444</v>
      </c>
      <c r="J58" s="10">
        <v>1457.0</v>
      </c>
      <c r="K58" s="11">
        <v>-9861.81</v>
      </c>
      <c r="L58" s="11">
        <v>3086.235</v>
      </c>
      <c r="M58" s="11">
        <v>78.593</v>
      </c>
      <c r="N58" s="11">
        <v>-9861.801</v>
      </c>
      <c r="O58" s="11">
        <v>3086.232</v>
      </c>
      <c r="P58" s="11">
        <v>72.573</v>
      </c>
      <c r="Q58" s="11">
        <v>1469.88</v>
      </c>
      <c r="R58" s="11">
        <v>-19.897</v>
      </c>
      <c r="S58" s="12">
        <v>0.89</v>
      </c>
      <c r="T58" s="13">
        <f t="shared" si="1"/>
        <v>1450.873</v>
      </c>
      <c r="U58" s="14">
        <f t="shared" si="2"/>
        <v>6.127</v>
      </c>
      <c r="V58" s="14">
        <f t="shared" si="3"/>
        <v>1.981048951</v>
      </c>
      <c r="W58" s="15" t="str">
        <f t="shared" si="4"/>
        <v/>
      </c>
      <c r="X58" s="11">
        <f t="shared" si="5"/>
        <v>1452.448</v>
      </c>
      <c r="Y58" s="14">
        <f t="shared" si="6"/>
        <v>-1.575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</row>
    <row r="59">
      <c r="A59" s="7"/>
      <c r="B59" s="7"/>
      <c r="C59" s="7"/>
      <c r="D59" s="7"/>
      <c r="E59" s="7"/>
      <c r="F59" s="7" t="s">
        <v>22</v>
      </c>
      <c r="G59" s="8">
        <v>502.0</v>
      </c>
      <c r="H59" s="9">
        <v>39.1408563889</v>
      </c>
      <c r="I59" s="9">
        <v>-113.009348611</v>
      </c>
      <c r="J59" s="10">
        <v>1384.15</v>
      </c>
      <c r="K59" s="11">
        <v>-8700.617</v>
      </c>
      <c r="L59" s="11">
        <v>-17324.854</v>
      </c>
      <c r="M59" s="11">
        <v>-15.409</v>
      </c>
      <c r="N59" s="11">
        <v>-8700.612</v>
      </c>
      <c r="O59" s="11">
        <v>-17324.844</v>
      </c>
      <c r="P59" s="11">
        <v>-18.969</v>
      </c>
      <c r="Q59" s="11">
        <v>1399.76</v>
      </c>
      <c r="R59" s="11">
        <v>-20.171</v>
      </c>
      <c r="S59" s="12">
        <v>0.89</v>
      </c>
      <c r="T59" s="13">
        <f t="shared" si="1"/>
        <v>1380.479</v>
      </c>
      <c r="U59" s="14">
        <f t="shared" si="2"/>
        <v>3.671</v>
      </c>
      <c r="V59" s="14">
        <f t="shared" si="3"/>
        <v>-1.108129604</v>
      </c>
      <c r="W59" s="15" t="str">
        <f t="shared" si="4"/>
        <v/>
      </c>
      <c r="X59" s="11">
        <f t="shared" si="5"/>
        <v>1379.598</v>
      </c>
      <c r="Y59" s="14">
        <f t="shared" si="6"/>
        <v>0.881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</row>
    <row r="60">
      <c r="A60" s="7"/>
      <c r="B60" s="7"/>
      <c r="C60" s="7"/>
      <c r="D60" s="7"/>
      <c r="E60" s="7"/>
      <c r="F60" s="7" t="s">
        <v>22</v>
      </c>
      <c r="G60" s="8">
        <v>503.0</v>
      </c>
      <c r="H60" s="9">
        <v>39.1517222222</v>
      </c>
      <c r="I60" s="9">
        <v>-113.009561389</v>
      </c>
      <c r="J60" s="10">
        <v>1392.92</v>
      </c>
      <c r="K60" s="11">
        <v>-8717.62</v>
      </c>
      <c r="L60" s="11">
        <v>-16118.273</v>
      </c>
      <c r="M60" s="11">
        <v>-3.491</v>
      </c>
      <c r="N60" s="11">
        <v>-8717.616</v>
      </c>
      <c r="O60" s="11">
        <v>-16118.265</v>
      </c>
      <c r="P60" s="11">
        <v>-6.951</v>
      </c>
      <c r="Q60" s="11">
        <v>1408.62</v>
      </c>
      <c r="R60" s="11">
        <v>-20.157</v>
      </c>
      <c r="S60" s="12">
        <v>0.89</v>
      </c>
      <c r="T60" s="13">
        <f t="shared" si="1"/>
        <v>1389.353</v>
      </c>
      <c r="U60" s="14">
        <f t="shared" si="2"/>
        <v>3.567</v>
      </c>
      <c r="V60" s="14">
        <f t="shared" si="3"/>
        <v>-1.238941725</v>
      </c>
      <c r="W60" s="15" t="str">
        <f t="shared" si="4"/>
        <v/>
      </c>
      <c r="X60" s="11">
        <f t="shared" si="5"/>
        <v>1388.368</v>
      </c>
      <c r="Y60" s="14">
        <f t="shared" si="6"/>
        <v>0.985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</row>
    <row r="61">
      <c r="A61" s="7"/>
      <c r="B61" s="7"/>
      <c r="C61" s="7"/>
      <c r="D61" s="7"/>
      <c r="E61" s="7"/>
      <c r="F61" s="7" t="s">
        <v>22</v>
      </c>
      <c r="G61" s="8">
        <v>504.0</v>
      </c>
      <c r="H61" s="9">
        <v>39.162525</v>
      </c>
      <c r="I61" s="9">
        <v>-113.009534444</v>
      </c>
      <c r="J61" s="10">
        <v>1403.6</v>
      </c>
      <c r="K61" s="11">
        <v>-8713.968</v>
      </c>
      <c r="L61" s="11">
        <v>-14918.71</v>
      </c>
      <c r="M61" s="11">
        <v>10.12</v>
      </c>
      <c r="N61" s="11">
        <v>-8713.963</v>
      </c>
      <c r="O61" s="11">
        <v>-14918.701</v>
      </c>
      <c r="P61" s="11">
        <v>6.31</v>
      </c>
      <c r="Q61" s="11">
        <v>1418.93</v>
      </c>
      <c r="R61" s="11">
        <v>-20.141</v>
      </c>
      <c r="S61" s="12">
        <v>0.89</v>
      </c>
      <c r="T61" s="13">
        <f t="shared" si="1"/>
        <v>1399.679</v>
      </c>
      <c r="U61" s="14">
        <f t="shared" si="2"/>
        <v>3.921</v>
      </c>
      <c r="V61" s="14">
        <f t="shared" si="3"/>
        <v>-0.7936773893</v>
      </c>
      <c r="W61" s="15" t="str">
        <f t="shared" si="4"/>
        <v/>
      </c>
      <c r="X61" s="11">
        <f t="shared" si="5"/>
        <v>1399.048</v>
      </c>
      <c r="Y61" s="14">
        <f t="shared" si="6"/>
        <v>0.631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</row>
    <row r="62">
      <c r="A62" s="7"/>
      <c r="B62" s="7"/>
      <c r="C62" s="7"/>
      <c r="D62" s="7"/>
      <c r="E62" s="7"/>
      <c r="F62" s="7" t="s">
        <v>22</v>
      </c>
      <c r="G62" s="8">
        <v>505.0</v>
      </c>
      <c r="H62" s="9">
        <v>39.1732308333</v>
      </c>
      <c r="I62" s="9">
        <v>-113.010245</v>
      </c>
      <c r="J62" s="10">
        <v>1410.71</v>
      </c>
      <c r="K62" s="11">
        <v>-8774.111</v>
      </c>
      <c r="L62" s="11">
        <v>-13729.832</v>
      </c>
      <c r="M62" s="11">
        <v>19.824</v>
      </c>
      <c r="N62" s="11">
        <v>-8774.101</v>
      </c>
      <c r="O62" s="11">
        <v>-13729.816</v>
      </c>
      <c r="P62" s="11">
        <v>12.384</v>
      </c>
      <c r="Q62" s="11">
        <v>1422.4</v>
      </c>
      <c r="R62" s="11">
        <v>-20.126</v>
      </c>
      <c r="S62" s="12">
        <v>0.89</v>
      </c>
      <c r="T62" s="13">
        <f t="shared" si="1"/>
        <v>1403.164</v>
      </c>
      <c r="U62" s="14">
        <f t="shared" si="2"/>
        <v>7.546</v>
      </c>
      <c r="V62" s="14">
        <f t="shared" si="3"/>
        <v>3.76587972</v>
      </c>
      <c r="W62" s="15" t="str">
        <f t="shared" si="4"/>
        <v>✔</v>
      </c>
      <c r="X62" s="11">
        <f t="shared" si="5"/>
        <v>1406.158</v>
      </c>
      <c r="Y62" s="14">
        <f t="shared" si="6"/>
        <v>-2.994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</row>
    <row r="63">
      <c r="A63" s="7"/>
      <c r="B63" s="7"/>
      <c r="C63" s="7"/>
      <c r="D63" s="7"/>
      <c r="E63" s="7"/>
      <c r="F63" s="7" t="s">
        <v>22</v>
      </c>
      <c r="G63" s="8">
        <v>506.0</v>
      </c>
      <c r="H63" s="9">
        <v>39.1841025</v>
      </c>
      <c r="I63" s="9">
        <v>-113.009510833</v>
      </c>
      <c r="J63" s="10">
        <v>1410.13</v>
      </c>
      <c r="K63" s="11">
        <v>-8709.326</v>
      </c>
      <c r="L63" s="11">
        <v>-12522.64</v>
      </c>
      <c r="M63" s="11">
        <v>21.823</v>
      </c>
      <c r="N63" s="11">
        <v>-8709.323</v>
      </c>
      <c r="O63" s="11">
        <v>-12522.635</v>
      </c>
      <c r="P63" s="11">
        <v>19.033</v>
      </c>
      <c r="Q63" s="11">
        <v>1426.45</v>
      </c>
      <c r="R63" s="11">
        <v>-20.11</v>
      </c>
      <c r="S63" s="12">
        <v>0.89</v>
      </c>
      <c r="T63" s="13">
        <f t="shared" si="1"/>
        <v>1407.23</v>
      </c>
      <c r="U63" s="14">
        <f t="shared" si="2"/>
        <v>2.9</v>
      </c>
      <c r="V63" s="14">
        <f t="shared" si="3"/>
        <v>-2.077900233</v>
      </c>
      <c r="W63" s="15" t="str">
        <f t="shared" si="4"/>
        <v/>
      </c>
      <c r="X63" s="11">
        <f t="shared" si="5"/>
        <v>1405.578</v>
      </c>
      <c r="Y63" s="14">
        <f t="shared" si="6"/>
        <v>1.652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</row>
    <row r="64">
      <c r="A64" s="7"/>
      <c r="B64" s="7"/>
      <c r="C64" s="7"/>
      <c r="D64" s="7"/>
      <c r="E64" s="7"/>
      <c r="F64" s="7" t="s">
        <v>22</v>
      </c>
      <c r="G64" s="8">
        <v>507.0</v>
      </c>
      <c r="H64" s="9">
        <v>39.1949488889</v>
      </c>
      <c r="I64" s="9">
        <v>-113.0095375</v>
      </c>
      <c r="J64" s="10">
        <v>1408.84</v>
      </c>
      <c r="K64" s="11">
        <v>-8710.319</v>
      </c>
      <c r="L64" s="11">
        <v>-11318.258</v>
      </c>
      <c r="M64" s="11">
        <v>22.788</v>
      </c>
      <c r="N64" s="11">
        <v>-8710.315</v>
      </c>
      <c r="O64" s="11">
        <v>-11318.252</v>
      </c>
      <c r="P64" s="11">
        <v>19.648</v>
      </c>
      <c r="Q64" s="11">
        <v>1424.79</v>
      </c>
      <c r="R64" s="11">
        <v>-20.093</v>
      </c>
      <c r="S64" s="12">
        <v>0.89</v>
      </c>
      <c r="T64" s="13">
        <f t="shared" si="1"/>
        <v>1405.587</v>
      </c>
      <c r="U64" s="14">
        <f t="shared" si="2"/>
        <v>3.253</v>
      </c>
      <c r="V64" s="14">
        <f t="shared" si="3"/>
        <v>-1.633893706</v>
      </c>
      <c r="W64" s="15" t="str">
        <f t="shared" si="4"/>
        <v/>
      </c>
      <c r="X64" s="11">
        <f t="shared" si="5"/>
        <v>1404.288</v>
      </c>
      <c r="Y64" s="14">
        <f t="shared" si="6"/>
        <v>1.299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</row>
    <row r="65">
      <c r="A65" s="7"/>
      <c r="B65" s="7"/>
      <c r="C65" s="7"/>
      <c r="D65" s="7"/>
      <c r="E65" s="7"/>
      <c r="F65" s="7" t="s">
        <v>22</v>
      </c>
      <c r="G65" s="8">
        <v>508.0</v>
      </c>
      <c r="H65" s="9">
        <v>39.2057394444</v>
      </c>
      <c r="I65" s="9">
        <v>-113.009517222</v>
      </c>
      <c r="J65" s="10">
        <v>1406.55</v>
      </c>
      <c r="K65" s="11">
        <v>-8707.169</v>
      </c>
      <c r="L65" s="11">
        <v>-10120.095</v>
      </c>
      <c r="M65" s="11">
        <v>22.521</v>
      </c>
      <c r="N65" s="11">
        <v>-8707.163</v>
      </c>
      <c r="O65" s="11">
        <v>-10120.088</v>
      </c>
      <c r="P65" s="11">
        <v>17.801</v>
      </c>
      <c r="Q65" s="11">
        <v>1420.91</v>
      </c>
      <c r="R65" s="11">
        <v>-20.078</v>
      </c>
      <c r="S65" s="12">
        <v>0.89</v>
      </c>
      <c r="T65" s="13">
        <f t="shared" si="1"/>
        <v>1401.722</v>
      </c>
      <c r="U65" s="14">
        <f t="shared" si="2"/>
        <v>4.828</v>
      </c>
      <c r="V65" s="14">
        <f t="shared" si="3"/>
        <v>0.3471552448</v>
      </c>
      <c r="W65" s="15" t="str">
        <f t="shared" si="4"/>
        <v/>
      </c>
      <c r="X65" s="11">
        <f t="shared" si="5"/>
        <v>1401.998</v>
      </c>
      <c r="Y65" s="14">
        <f t="shared" si="6"/>
        <v>-0.276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</row>
    <row r="66">
      <c r="A66" s="7"/>
      <c r="B66" s="7"/>
      <c r="C66" s="7"/>
      <c r="D66" s="7"/>
      <c r="E66" s="7"/>
      <c r="F66" s="7" t="s">
        <v>22</v>
      </c>
      <c r="G66" s="8">
        <v>509.0</v>
      </c>
      <c r="H66" s="9">
        <v>39.2166680556</v>
      </c>
      <c r="I66" s="9">
        <v>-113.009480833</v>
      </c>
      <c r="J66" s="10">
        <v>1410.61</v>
      </c>
      <c r="K66" s="11">
        <v>-8702.716</v>
      </c>
      <c r="L66" s="11">
        <v>-8906.506</v>
      </c>
      <c r="M66" s="11">
        <v>28.402</v>
      </c>
      <c r="N66" s="11">
        <v>-8702.71</v>
      </c>
      <c r="O66" s="11">
        <v>-8906.5</v>
      </c>
      <c r="P66" s="11">
        <v>24.172</v>
      </c>
      <c r="Q66" s="11">
        <v>1425.44</v>
      </c>
      <c r="R66" s="11">
        <v>-20.063</v>
      </c>
      <c r="S66" s="12">
        <v>0.89</v>
      </c>
      <c r="T66" s="13">
        <f t="shared" si="1"/>
        <v>1406.267</v>
      </c>
      <c r="U66" s="14">
        <f t="shared" si="2"/>
        <v>4.343</v>
      </c>
      <c r="V66" s="14">
        <f t="shared" si="3"/>
        <v>-0.2628820513</v>
      </c>
      <c r="W66" s="15" t="str">
        <f t="shared" si="4"/>
        <v/>
      </c>
      <c r="X66" s="11">
        <f t="shared" si="5"/>
        <v>1406.058</v>
      </c>
      <c r="Y66" s="14">
        <f t="shared" si="6"/>
        <v>0.209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</row>
    <row r="67">
      <c r="A67" s="7"/>
      <c r="B67" s="7"/>
      <c r="C67" s="7"/>
      <c r="D67" s="7"/>
      <c r="E67" s="7"/>
      <c r="F67" s="7" t="s">
        <v>22</v>
      </c>
      <c r="G67" s="8">
        <v>510.0</v>
      </c>
      <c r="H67" s="9">
        <v>39.2273466667</v>
      </c>
      <c r="I67" s="9">
        <v>-113.009516944</v>
      </c>
      <c r="J67" s="10">
        <v>1415.5</v>
      </c>
      <c r="K67" s="11">
        <v>-8704.513</v>
      </c>
      <c r="L67" s="11">
        <v>-7720.667</v>
      </c>
      <c r="M67" s="11">
        <v>34.839</v>
      </c>
      <c r="N67" s="11">
        <v>-8704.507</v>
      </c>
      <c r="O67" s="11">
        <v>-7720.662</v>
      </c>
      <c r="P67" s="11">
        <v>30.489</v>
      </c>
      <c r="Q67" s="11">
        <v>1430.2</v>
      </c>
      <c r="R67" s="11">
        <v>-20.049</v>
      </c>
      <c r="S67" s="12">
        <v>0.89</v>
      </c>
      <c r="T67" s="13">
        <f t="shared" si="1"/>
        <v>1411.041</v>
      </c>
      <c r="U67" s="14">
        <f t="shared" si="2"/>
        <v>4.459</v>
      </c>
      <c r="V67" s="14">
        <f t="shared" si="3"/>
        <v>-0.1169762238</v>
      </c>
      <c r="W67" s="15" t="str">
        <f t="shared" si="4"/>
        <v/>
      </c>
      <c r="X67" s="11">
        <f t="shared" si="5"/>
        <v>1410.948</v>
      </c>
      <c r="Y67" s="14">
        <f t="shared" si="6"/>
        <v>0.093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</row>
    <row r="68">
      <c r="A68" s="7"/>
      <c r="B68" s="7"/>
      <c r="C68" s="7"/>
      <c r="D68" s="7"/>
      <c r="E68" s="7"/>
      <c r="F68" s="7" t="s">
        <v>22</v>
      </c>
      <c r="G68" s="8">
        <v>511.0</v>
      </c>
      <c r="H68" s="9">
        <v>39.2381063889</v>
      </c>
      <c r="I68" s="9">
        <v>-113.009575</v>
      </c>
      <c r="J68" s="10">
        <v>1420.83</v>
      </c>
      <c r="K68" s="11">
        <v>-8708.2</v>
      </c>
      <c r="L68" s="11">
        <v>-6525.94</v>
      </c>
      <c r="M68" s="11">
        <v>41.502</v>
      </c>
      <c r="N68" s="11">
        <v>-8708.195</v>
      </c>
      <c r="O68" s="11">
        <v>-6525.937</v>
      </c>
      <c r="P68" s="11">
        <v>38.442</v>
      </c>
      <c r="Q68" s="11">
        <v>1436.8</v>
      </c>
      <c r="R68" s="11">
        <v>-20.034</v>
      </c>
      <c r="S68" s="12">
        <v>0.89</v>
      </c>
      <c r="T68" s="13">
        <f t="shared" si="1"/>
        <v>1417.656</v>
      </c>
      <c r="U68" s="14">
        <f t="shared" si="2"/>
        <v>3.174</v>
      </c>
      <c r="V68" s="14">
        <f t="shared" si="3"/>
        <v>-1.733260606</v>
      </c>
      <c r="W68" s="15" t="str">
        <f t="shared" si="4"/>
        <v/>
      </c>
      <c r="X68" s="11">
        <f t="shared" si="5"/>
        <v>1416.278</v>
      </c>
      <c r="Y68" s="14">
        <f t="shared" si="6"/>
        <v>1.378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</row>
    <row r="69">
      <c r="A69" s="7"/>
      <c r="B69" s="7"/>
      <c r="C69" s="7"/>
      <c r="D69" s="7"/>
      <c r="E69" s="7"/>
      <c r="F69" s="7" t="s">
        <v>22</v>
      </c>
      <c r="G69" s="8">
        <v>512.0</v>
      </c>
      <c r="H69" s="9">
        <v>39.2490166667</v>
      </c>
      <c r="I69" s="9">
        <v>-113.009479444</v>
      </c>
      <c r="J69" s="10">
        <v>1424.03</v>
      </c>
      <c r="K69" s="11">
        <v>-8698.566</v>
      </c>
      <c r="L69" s="11">
        <v>-5314.342</v>
      </c>
      <c r="M69" s="11">
        <v>45.842</v>
      </c>
      <c r="N69" s="11">
        <v>-8698.56</v>
      </c>
      <c r="O69" s="11">
        <v>-5314.338</v>
      </c>
      <c r="P69" s="11">
        <v>41.542</v>
      </c>
      <c r="Q69" s="11">
        <v>1438.75</v>
      </c>
      <c r="R69" s="11">
        <v>-20.02</v>
      </c>
      <c r="S69" s="12">
        <v>0.89</v>
      </c>
      <c r="T69" s="13">
        <f t="shared" si="1"/>
        <v>1419.62</v>
      </c>
      <c r="U69" s="14">
        <f t="shared" si="2"/>
        <v>4.41</v>
      </c>
      <c r="V69" s="14">
        <f t="shared" si="3"/>
        <v>-0.1786088578</v>
      </c>
      <c r="W69" s="15" t="str">
        <f t="shared" si="4"/>
        <v/>
      </c>
      <c r="X69" s="11">
        <f t="shared" si="5"/>
        <v>1419.478</v>
      </c>
      <c r="Y69" s="14">
        <f t="shared" si="6"/>
        <v>0.142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</row>
    <row r="70">
      <c r="A70" s="7"/>
      <c r="B70" s="7"/>
      <c r="C70" s="7"/>
      <c r="D70" s="7"/>
      <c r="E70" s="7"/>
      <c r="F70" s="7" t="s">
        <v>22</v>
      </c>
      <c r="G70" s="8">
        <v>513.0</v>
      </c>
      <c r="H70" s="9">
        <v>39.2597944444</v>
      </c>
      <c r="I70" s="9">
        <v>-113.009386389</v>
      </c>
      <c r="J70" s="10">
        <v>1420.13</v>
      </c>
      <c r="K70" s="11">
        <v>-8689.201</v>
      </c>
      <c r="L70" s="11">
        <v>-4117.615</v>
      </c>
      <c r="M70" s="11">
        <v>42.842</v>
      </c>
      <c r="N70" s="11">
        <v>-8689.193</v>
      </c>
      <c r="O70" s="11">
        <v>-4117.611</v>
      </c>
      <c r="P70" s="11">
        <v>37.182</v>
      </c>
      <c r="Q70" s="11">
        <v>1433.48</v>
      </c>
      <c r="R70" s="11">
        <v>-20.006</v>
      </c>
      <c r="S70" s="12">
        <v>0.89</v>
      </c>
      <c r="T70" s="13">
        <f t="shared" si="1"/>
        <v>1414.364</v>
      </c>
      <c r="U70" s="14">
        <f t="shared" si="2"/>
        <v>5.766</v>
      </c>
      <c r="V70" s="14">
        <f t="shared" si="3"/>
        <v>1.526979953</v>
      </c>
      <c r="W70" s="15" t="str">
        <f t="shared" si="4"/>
        <v/>
      </c>
      <c r="X70" s="11">
        <f t="shared" si="5"/>
        <v>1415.578</v>
      </c>
      <c r="Y70" s="14">
        <f t="shared" si="6"/>
        <v>-1.214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</row>
    <row r="71">
      <c r="A71" s="7"/>
      <c r="B71" s="7"/>
      <c r="C71" s="7"/>
      <c r="D71" s="7"/>
      <c r="E71" s="7"/>
      <c r="F71" s="7" t="s">
        <v>22</v>
      </c>
      <c r="G71" s="8">
        <v>514.0</v>
      </c>
      <c r="H71" s="9">
        <v>39.2706394444</v>
      </c>
      <c r="I71" s="9">
        <v>-113.009526944</v>
      </c>
      <c r="J71" s="10">
        <v>1414.91</v>
      </c>
      <c r="K71" s="11">
        <v>-8700.025</v>
      </c>
      <c r="L71" s="11">
        <v>-2913.313</v>
      </c>
      <c r="M71" s="11">
        <v>38.273</v>
      </c>
      <c r="N71" s="11">
        <v>-8700.018</v>
      </c>
      <c r="O71" s="11">
        <v>-2913.311</v>
      </c>
      <c r="P71" s="11">
        <v>32.813</v>
      </c>
      <c r="Q71" s="11">
        <v>1428.44</v>
      </c>
      <c r="R71" s="11">
        <v>-19.991</v>
      </c>
      <c r="S71" s="12">
        <v>0.89</v>
      </c>
      <c r="T71" s="13">
        <f t="shared" si="1"/>
        <v>1409.339</v>
      </c>
      <c r="U71" s="14">
        <f t="shared" si="2"/>
        <v>5.571</v>
      </c>
      <c r="V71" s="14">
        <f t="shared" si="3"/>
        <v>1.281707226</v>
      </c>
      <c r="W71" s="15" t="str">
        <f t="shared" si="4"/>
        <v/>
      </c>
      <c r="X71" s="11">
        <f t="shared" si="5"/>
        <v>1410.358</v>
      </c>
      <c r="Y71" s="14">
        <f t="shared" si="6"/>
        <v>-1.019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</row>
    <row r="72">
      <c r="A72" s="7"/>
      <c r="B72" s="7"/>
      <c r="C72" s="7"/>
      <c r="D72" s="7"/>
      <c r="E72" s="7"/>
      <c r="F72" s="7" t="s">
        <v>22</v>
      </c>
      <c r="G72" s="8">
        <v>515.0</v>
      </c>
      <c r="H72" s="9">
        <v>39.2814855556</v>
      </c>
      <c r="I72" s="9">
        <v>-113.009504167</v>
      </c>
      <c r="J72" s="10">
        <v>1417.72</v>
      </c>
      <c r="K72" s="11">
        <v>-8696.703</v>
      </c>
      <c r="L72" s="11">
        <v>-1708.807</v>
      </c>
      <c r="M72" s="11">
        <v>41.525</v>
      </c>
      <c r="N72" s="11">
        <v>-8696.696</v>
      </c>
      <c r="O72" s="11">
        <v>-1708.806</v>
      </c>
      <c r="P72" s="11">
        <v>36.455</v>
      </c>
      <c r="Q72" s="11">
        <v>1431.62</v>
      </c>
      <c r="R72" s="11">
        <v>-19.975</v>
      </c>
      <c r="S72" s="12">
        <v>0.89</v>
      </c>
      <c r="T72" s="13">
        <f t="shared" si="1"/>
        <v>1412.535</v>
      </c>
      <c r="U72" s="14">
        <f t="shared" si="2"/>
        <v>5.185</v>
      </c>
      <c r="V72" s="14">
        <f t="shared" si="3"/>
        <v>0.796193007</v>
      </c>
      <c r="W72" s="15" t="str">
        <f t="shared" si="4"/>
        <v/>
      </c>
      <c r="X72" s="11">
        <f t="shared" si="5"/>
        <v>1413.168</v>
      </c>
      <c r="Y72" s="14">
        <f t="shared" si="6"/>
        <v>-0.633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</row>
    <row r="73">
      <c r="A73" s="7"/>
      <c r="B73" s="7"/>
      <c r="C73" s="7"/>
      <c r="D73" s="7"/>
      <c r="E73" s="7"/>
      <c r="F73" s="7" t="s">
        <v>22</v>
      </c>
      <c r="G73" s="8">
        <v>516.0</v>
      </c>
      <c r="H73" s="9">
        <v>39.2922661111</v>
      </c>
      <c r="I73" s="9">
        <v>-113.009520278</v>
      </c>
      <c r="J73" s="10">
        <v>1423.97</v>
      </c>
      <c r="K73" s="11">
        <v>-8696.759</v>
      </c>
      <c r="L73" s="11">
        <v>-511.734</v>
      </c>
      <c r="M73" s="11">
        <v>47.984</v>
      </c>
      <c r="N73" s="11">
        <v>-8696.751</v>
      </c>
      <c r="O73" s="11">
        <v>-511.734</v>
      </c>
      <c r="P73" s="11">
        <v>42.174</v>
      </c>
      <c r="Q73" s="11">
        <v>1437.12</v>
      </c>
      <c r="R73" s="11">
        <v>-19.958</v>
      </c>
      <c r="S73" s="12">
        <v>0.89</v>
      </c>
      <c r="T73" s="13">
        <f t="shared" si="1"/>
        <v>1418.052</v>
      </c>
      <c r="U73" s="14">
        <f t="shared" si="2"/>
        <v>5.918</v>
      </c>
      <c r="V73" s="14">
        <f t="shared" si="3"/>
        <v>1.7181669</v>
      </c>
      <c r="W73" s="15" t="str">
        <f t="shared" si="4"/>
        <v/>
      </c>
      <c r="X73" s="11">
        <f t="shared" si="5"/>
        <v>1419.418</v>
      </c>
      <c r="Y73" s="14">
        <f t="shared" si="6"/>
        <v>-1.366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</row>
    <row r="74">
      <c r="A74" s="7"/>
      <c r="B74" s="7"/>
      <c r="C74" s="7"/>
      <c r="D74" s="7"/>
      <c r="E74" s="7"/>
      <c r="F74" s="7" t="s">
        <v>22</v>
      </c>
      <c r="G74" s="8">
        <v>517.0</v>
      </c>
      <c r="H74" s="9">
        <v>39.3030463889</v>
      </c>
      <c r="I74" s="9">
        <v>-113.0094725</v>
      </c>
      <c r="J74" s="10">
        <v>1430.33</v>
      </c>
      <c r="K74" s="11">
        <v>-8691.379</v>
      </c>
      <c r="L74" s="11">
        <v>685.337</v>
      </c>
      <c r="M74" s="11">
        <v>54.335</v>
      </c>
      <c r="N74" s="11">
        <v>-8691.373</v>
      </c>
      <c r="O74" s="11">
        <v>685.337</v>
      </c>
      <c r="P74" s="11">
        <v>50.015</v>
      </c>
      <c r="Q74" s="11">
        <v>1444.95</v>
      </c>
      <c r="R74" s="11">
        <v>-19.939</v>
      </c>
      <c r="S74" s="12">
        <v>0.89</v>
      </c>
      <c r="T74" s="13">
        <f t="shared" si="1"/>
        <v>1425.901</v>
      </c>
      <c r="U74" s="14">
        <f t="shared" si="2"/>
        <v>4.429</v>
      </c>
      <c r="V74" s="14">
        <f t="shared" si="3"/>
        <v>-0.1547104895</v>
      </c>
      <c r="W74" s="15" t="str">
        <f t="shared" si="4"/>
        <v/>
      </c>
      <c r="X74" s="11">
        <f t="shared" si="5"/>
        <v>1425.778</v>
      </c>
      <c r="Y74" s="14">
        <f t="shared" si="6"/>
        <v>0.123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</row>
    <row r="75">
      <c r="A75" s="7"/>
      <c r="B75" s="7"/>
      <c r="C75" s="7"/>
      <c r="D75" s="7"/>
      <c r="E75" s="7"/>
      <c r="F75" s="7" t="s">
        <v>22</v>
      </c>
      <c r="G75" s="8">
        <v>518.0</v>
      </c>
      <c r="H75" s="9">
        <v>39.3139069444</v>
      </c>
      <c r="I75" s="9">
        <v>-113.009496944</v>
      </c>
      <c r="J75" s="10">
        <v>1443.45</v>
      </c>
      <c r="K75" s="11">
        <v>-8692.123</v>
      </c>
      <c r="L75" s="11">
        <v>1891.417</v>
      </c>
      <c r="M75" s="11">
        <v>67.209</v>
      </c>
      <c r="N75" s="11">
        <v>-8692.115</v>
      </c>
      <c r="O75" s="11">
        <v>1891.415</v>
      </c>
      <c r="P75" s="11">
        <v>61.319</v>
      </c>
      <c r="Q75" s="11">
        <v>1456.48</v>
      </c>
      <c r="R75" s="11">
        <v>-19.919</v>
      </c>
      <c r="S75" s="12">
        <v>0.89</v>
      </c>
      <c r="T75" s="13">
        <f t="shared" si="1"/>
        <v>1437.451</v>
      </c>
      <c r="U75" s="14">
        <f t="shared" si="2"/>
        <v>5.999</v>
      </c>
      <c r="V75" s="14">
        <f t="shared" si="3"/>
        <v>1.820049417</v>
      </c>
      <c r="W75" s="15" t="str">
        <f t="shared" si="4"/>
        <v/>
      </c>
      <c r="X75" s="11">
        <f t="shared" si="5"/>
        <v>1438.898</v>
      </c>
      <c r="Y75" s="14">
        <f t="shared" si="6"/>
        <v>-1.447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</row>
    <row r="76">
      <c r="A76" s="7"/>
      <c r="B76" s="7"/>
      <c r="C76" s="7"/>
      <c r="D76" s="7"/>
      <c r="E76" s="7"/>
      <c r="F76" s="7" t="s">
        <v>22</v>
      </c>
      <c r="G76" s="8">
        <v>519.0</v>
      </c>
      <c r="H76" s="9">
        <v>39.3245716667</v>
      </c>
      <c r="I76" s="9">
        <v>-113.009645278</v>
      </c>
      <c r="J76" s="10">
        <v>1455.98</v>
      </c>
      <c r="K76" s="11">
        <v>-8703.585</v>
      </c>
      <c r="L76" s="11">
        <v>3075.75</v>
      </c>
      <c r="M76" s="11">
        <v>79.261</v>
      </c>
      <c r="N76" s="11">
        <v>-8703.578</v>
      </c>
      <c r="O76" s="11">
        <v>3075.747</v>
      </c>
      <c r="P76" s="11">
        <v>73.461</v>
      </c>
      <c r="Q76" s="11">
        <v>1469.08</v>
      </c>
      <c r="R76" s="11">
        <v>-19.896</v>
      </c>
      <c r="S76" s="12">
        <v>0.89</v>
      </c>
      <c r="T76" s="13">
        <f t="shared" si="1"/>
        <v>1450.074</v>
      </c>
      <c r="U76" s="14">
        <f t="shared" si="2"/>
        <v>5.906</v>
      </c>
      <c r="V76" s="14">
        <f t="shared" si="3"/>
        <v>1.703073193</v>
      </c>
      <c r="W76" s="15" t="str">
        <f t="shared" si="4"/>
        <v/>
      </c>
      <c r="X76" s="11">
        <f t="shared" si="5"/>
        <v>1451.428</v>
      </c>
      <c r="Y76" s="14">
        <f t="shared" si="6"/>
        <v>-1.354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</row>
    <row r="77">
      <c r="A77" s="7"/>
      <c r="B77" s="7"/>
      <c r="C77" s="7"/>
      <c r="D77" s="7"/>
      <c r="E77" s="7"/>
      <c r="F77" s="7" t="s">
        <v>22</v>
      </c>
      <c r="G77" s="8">
        <v>520.0</v>
      </c>
      <c r="H77" s="9">
        <v>39.3354925</v>
      </c>
      <c r="I77" s="9">
        <v>-113.009459167</v>
      </c>
      <c r="J77" s="10">
        <v>1462.34</v>
      </c>
      <c r="K77" s="11">
        <v>-8686.201</v>
      </c>
      <c r="L77" s="11">
        <v>4288.482</v>
      </c>
      <c r="M77" s="11">
        <v>84.943</v>
      </c>
      <c r="N77" s="11">
        <v>-8686.194</v>
      </c>
      <c r="O77" s="11">
        <v>4288.479</v>
      </c>
      <c r="P77" s="11">
        <v>80.403</v>
      </c>
      <c r="Q77" s="11">
        <v>1476.67</v>
      </c>
      <c r="R77" s="11">
        <v>-19.869</v>
      </c>
      <c r="S77" s="12">
        <v>0.89</v>
      </c>
      <c r="T77" s="13">
        <f t="shared" si="1"/>
        <v>1457.691</v>
      </c>
      <c r="U77" s="14">
        <f t="shared" si="2"/>
        <v>4.649</v>
      </c>
      <c r="V77" s="14">
        <f t="shared" si="3"/>
        <v>0.1220074592</v>
      </c>
      <c r="W77" s="15" t="str">
        <f t="shared" si="4"/>
        <v/>
      </c>
      <c r="X77" s="11">
        <f t="shared" si="5"/>
        <v>1457.788</v>
      </c>
      <c r="Y77" s="14">
        <f t="shared" si="6"/>
        <v>-0.097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</row>
    <row r="78">
      <c r="A78" s="7"/>
      <c r="B78" s="7"/>
      <c r="C78" s="7"/>
      <c r="D78" s="7"/>
      <c r="E78" s="7"/>
      <c r="F78" s="7" t="s">
        <v>22</v>
      </c>
      <c r="G78" s="8">
        <v>601.0</v>
      </c>
      <c r="H78" s="9">
        <v>39.1297155556</v>
      </c>
      <c r="I78" s="9">
        <v>-112.995662778</v>
      </c>
      <c r="J78" s="10">
        <v>1375.62</v>
      </c>
      <c r="K78" s="11">
        <v>-7518.322</v>
      </c>
      <c r="L78" s="11">
        <v>-18563.06</v>
      </c>
      <c r="M78" s="11">
        <v>-25.931</v>
      </c>
      <c r="N78" s="11">
        <v>-7518.315</v>
      </c>
      <c r="O78" s="11">
        <v>-18563.045</v>
      </c>
      <c r="P78" s="11">
        <v>-31.261</v>
      </c>
      <c r="Q78" s="11">
        <v>1389.47</v>
      </c>
      <c r="R78" s="11">
        <v>-20.177</v>
      </c>
      <c r="S78" s="12">
        <v>0.89</v>
      </c>
      <c r="T78" s="13">
        <f t="shared" si="1"/>
        <v>1370.183</v>
      </c>
      <c r="U78" s="14">
        <f t="shared" si="2"/>
        <v>5.437</v>
      </c>
      <c r="V78" s="14">
        <f t="shared" si="3"/>
        <v>1.113160839</v>
      </c>
      <c r="W78" s="15" t="str">
        <f t="shared" si="4"/>
        <v/>
      </c>
      <c r="X78" s="11">
        <f t="shared" si="5"/>
        <v>1371.068</v>
      </c>
      <c r="Y78" s="14">
        <f t="shared" si="6"/>
        <v>-0.885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</row>
    <row r="79">
      <c r="A79" s="7"/>
      <c r="B79" s="7"/>
      <c r="C79" s="7"/>
      <c r="D79" s="7"/>
      <c r="E79" s="7"/>
      <c r="F79" s="7" t="s">
        <v>22</v>
      </c>
      <c r="G79" s="8">
        <v>602.0</v>
      </c>
      <c r="H79" s="9">
        <v>39.1408438889</v>
      </c>
      <c r="I79" s="9">
        <v>-112.995778611</v>
      </c>
      <c r="J79" s="10">
        <v>1381.3</v>
      </c>
      <c r="K79" s="11">
        <v>-7527.176</v>
      </c>
      <c r="L79" s="11">
        <v>-17327.395</v>
      </c>
      <c r="M79" s="11">
        <v>-16.776</v>
      </c>
      <c r="N79" s="11">
        <v>-7527.171</v>
      </c>
      <c r="O79" s="11">
        <v>-17327.385</v>
      </c>
      <c r="P79" s="11">
        <v>-20.536</v>
      </c>
      <c r="Q79" s="11">
        <v>1396.7</v>
      </c>
      <c r="R79" s="11">
        <v>-20.165</v>
      </c>
      <c r="S79" s="12">
        <v>0.89</v>
      </c>
      <c r="T79" s="13">
        <f t="shared" si="1"/>
        <v>1377.425</v>
      </c>
      <c r="U79" s="14">
        <f t="shared" si="2"/>
        <v>3.875</v>
      </c>
      <c r="V79" s="14">
        <f t="shared" si="3"/>
        <v>-0.8515365967</v>
      </c>
      <c r="W79" s="15" t="str">
        <f t="shared" si="4"/>
        <v/>
      </c>
      <c r="X79" s="11">
        <f t="shared" si="5"/>
        <v>1376.748</v>
      </c>
      <c r="Y79" s="14">
        <f t="shared" si="6"/>
        <v>0.677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</row>
    <row r="80">
      <c r="A80" s="7"/>
      <c r="B80" s="7"/>
      <c r="C80" s="7"/>
      <c r="D80" s="7"/>
      <c r="E80" s="7"/>
      <c r="F80" s="7" t="s">
        <v>22</v>
      </c>
      <c r="G80" s="8">
        <v>603.0</v>
      </c>
      <c r="H80" s="9">
        <v>39.1522838889</v>
      </c>
      <c r="I80" s="9">
        <v>-112.995852222</v>
      </c>
      <c r="J80" s="10">
        <v>1388.31</v>
      </c>
      <c r="K80" s="11">
        <v>-7532.277</v>
      </c>
      <c r="L80" s="11">
        <v>-16057.087</v>
      </c>
      <c r="M80" s="11">
        <v>-6.439</v>
      </c>
      <c r="N80" s="11">
        <v>-7532.272</v>
      </c>
      <c r="O80" s="11">
        <v>-16057.076</v>
      </c>
      <c r="P80" s="11">
        <v>-10.889</v>
      </c>
      <c r="Q80" s="11">
        <v>1403.01</v>
      </c>
      <c r="R80" s="11">
        <v>-20.151</v>
      </c>
      <c r="S80" s="12">
        <v>0.89</v>
      </c>
      <c r="T80" s="13">
        <f t="shared" si="1"/>
        <v>1383.749</v>
      </c>
      <c r="U80" s="14">
        <f t="shared" si="2"/>
        <v>4.561</v>
      </c>
      <c r="V80" s="14">
        <f t="shared" si="3"/>
        <v>0.01132027972</v>
      </c>
      <c r="W80" s="15" t="str">
        <f t="shared" si="4"/>
        <v/>
      </c>
      <c r="X80" s="11">
        <f t="shared" si="5"/>
        <v>1383.758</v>
      </c>
      <c r="Y80" s="14">
        <f t="shared" si="6"/>
        <v>-0.009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</row>
    <row r="81">
      <c r="A81" s="7"/>
      <c r="B81" s="7"/>
      <c r="C81" s="7"/>
      <c r="D81" s="7"/>
      <c r="E81" s="7"/>
      <c r="F81" s="7" t="s">
        <v>22</v>
      </c>
      <c r="G81" s="8">
        <v>604.0</v>
      </c>
      <c r="H81" s="9">
        <v>39.1624119444</v>
      </c>
      <c r="I81" s="9">
        <v>-112.995626667</v>
      </c>
      <c r="J81" s="10">
        <v>1391.78</v>
      </c>
      <c r="K81" s="11">
        <v>-7511.751</v>
      </c>
      <c r="L81" s="11">
        <v>-14932.477</v>
      </c>
      <c r="M81" s="11">
        <v>-0.206</v>
      </c>
      <c r="N81" s="11">
        <v>-7511.745</v>
      </c>
      <c r="O81" s="11">
        <v>-14932.465</v>
      </c>
      <c r="P81" s="11">
        <v>-5.266</v>
      </c>
      <c r="Q81" s="11">
        <v>1405.86</v>
      </c>
      <c r="R81" s="11">
        <v>-20.138</v>
      </c>
      <c r="S81" s="12">
        <v>0.89</v>
      </c>
      <c r="T81" s="13">
        <f t="shared" si="1"/>
        <v>1386.612</v>
      </c>
      <c r="U81" s="14">
        <f t="shared" si="2"/>
        <v>5.168</v>
      </c>
      <c r="V81" s="14">
        <f t="shared" si="3"/>
        <v>0.7748102564</v>
      </c>
      <c r="W81" s="15" t="str">
        <f t="shared" si="4"/>
        <v/>
      </c>
      <c r="X81" s="11">
        <f t="shared" si="5"/>
        <v>1387.228</v>
      </c>
      <c r="Y81" s="14">
        <f t="shared" si="6"/>
        <v>-0.616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</row>
    <row r="82">
      <c r="A82" s="7"/>
      <c r="B82" s="7"/>
      <c r="C82" s="7"/>
      <c r="D82" s="7"/>
      <c r="E82" s="7"/>
      <c r="F82" s="7" t="s">
        <v>22</v>
      </c>
      <c r="G82" s="8">
        <v>605.0</v>
      </c>
      <c r="H82" s="9">
        <v>39.1733025</v>
      </c>
      <c r="I82" s="9">
        <v>-112.995659167</v>
      </c>
      <c r="J82" s="10">
        <v>1395.29</v>
      </c>
      <c r="K82" s="11">
        <v>-7513.363</v>
      </c>
      <c r="L82" s="11">
        <v>-13723.117</v>
      </c>
      <c r="M82" s="11">
        <v>6.026</v>
      </c>
      <c r="N82" s="11">
        <v>-7513.357</v>
      </c>
      <c r="O82" s="11">
        <v>-13723.107</v>
      </c>
      <c r="P82" s="11">
        <v>1.376</v>
      </c>
      <c r="Q82" s="11">
        <v>1409.76</v>
      </c>
      <c r="R82" s="11">
        <v>-20.123</v>
      </c>
      <c r="S82" s="12">
        <v>0.89</v>
      </c>
      <c r="T82" s="13">
        <f t="shared" si="1"/>
        <v>1390.527</v>
      </c>
      <c r="U82" s="14">
        <f t="shared" si="2"/>
        <v>4.763</v>
      </c>
      <c r="V82" s="14">
        <f t="shared" si="3"/>
        <v>0.265397669</v>
      </c>
      <c r="W82" s="15" t="str">
        <f t="shared" si="4"/>
        <v/>
      </c>
      <c r="X82" s="11">
        <f t="shared" si="5"/>
        <v>1390.738</v>
      </c>
      <c r="Y82" s="14">
        <f t="shared" si="6"/>
        <v>-0.211</v>
      </c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</row>
    <row r="83">
      <c r="A83" s="7"/>
      <c r="B83" s="7"/>
      <c r="C83" s="7"/>
      <c r="D83" s="7"/>
      <c r="E83" s="7"/>
      <c r="F83" s="7" t="s">
        <v>22</v>
      </c>
      <c r="G83" s="8">
        <v>606.0</v>
      </c>
      <c r="H83" s="9">
        <v>39.184075</v>
      </c>
      <c r="I83" s="9">
        <v>-112.995671111</v>
      </c>
      <c r="J83" s="10">
        <v>1400.63</v>
      </c>
      <c r="K83" s="11">
        <v>-7513.259</v>
      </c>
      <c r="L83" s="11">
        <v>-12526.971</v>
      </c>
      <c r="M83" s="11">
        <v>13.833</v>
      </c>
      <c r="N83" s="11">
        <v>-7513.254</v>
      </c>
      <c r="O83" s="11">
        <v>-12526.962</v>
      </c>
      <c r="P83" s="11">
        <v>9.143</v>
      </c>
      <c r="Q83" s="11">
        <v>1415.05</v>
      </c>
      <c r="R83" s="11">
        <v>-20.109</v>
      </c>
      <c r="S83" s="12">
        <v>0.89</v>
      </c>
      <c r="T83" s="13">
        <f t="shared" si="1"/>
        <v>1395.831</v>
      </c>
      <c r="U83" s="14">
        <f t="shared" si="2"/>
        <v>4.799</v>
      </c>
      <c r="V83" s="14">
        <f t="shared" si="3"/>
        <v>0.3106787879</v>
      </c>
      <c r="W83" s="15" t="str">
        <f t="shared" si="4"/>
        <v/>
      </c>
      <c r="X83" s="11">
        <f t="shared" si="5"/>
        <v>1396.078</v>
      </c>
      <c r="Y83" s="14">
        <f t="shared" si="6"/>
        <v>-0.247</v>
      </c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</row>
    <row r="84">
      <c r="A84" s="7"/>
      <c r="B84" s="7"/>
      <c r="C84" s="7"/>
      <c r="D84" s="7"/>
      <c r="E84" s="7"/>
      <c r="F84" s="7" t="s">
        <v>22</v>
      </c>
      <c r="G84" s="8">
        <v>607.0</v>
      </c>
      <c r="H84" s="9">
        <v>39.1949336111</v>
      </c>
      <c r="I84" s="9">
        <v>-112.995618056</v>
      </c>
      <c r="J84" s="10">
        <v>1402.93</v>
      </c>
      <c r="K84" s="11">
        <v>-7507.526</v>
      </c>
      <c r="L84" s="11">
        <v>-11321.161</v>
      </c>
      <c r="M84" s="11">
        <v>18.4</v>
      </c>
      <c r="N84" s="11">
        <v>-7507.521</v>
      </c>
      <c r="O84" s="11">
        <v>-11321.153</v>
      </c>
      <c r="P84" s="11">
        <v>14.04</v>
      </c>
      <c r="Q84" s="11">
        <v>1417.66</v>
      </c>
      <c r="R84" s="11">
        <v>-20.093</v>
      </c>
      <c r="S84" s="12">
        <v>0.89</v>
      </c>
      <c r="T84" s="13">
        <f t="shared" si="1"/>
        <v>1398.457</v>
      </c>
      <c r="U84" s="14">
        <f t="shared" si="2"/>
        <v>4.473</v>
      </c>
      <c r="V84" s="14">
        <f t="shared" si="3"/>
        <v>-0.09936689977</v>
      </c>
      <c r="W84" s="15" t="str">
        <f t="shared" si="4"/>
        <v/>
      </c>
      <c r="X84" s="11">
        <f t="shared" si="5"/>
        <v>1398.378</v>
      </c>
      <c r="Y84" s="14">
        <f t="shared" si="6"/>
        <v>0.079</v>
      </c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</row>
    <row r="85">
      <c r="A85" s="7"/>
      <c r="B85" s="7"/>
      <c r="C85" s="7"/>
      <c r="D85" s="7"/>
      <c r="E85" s="7"/>
      <c r="F85" s="7" t="s">
        <v>22</v>
      </c>
      <c r="G85" s="8">
        <v>608.0</v>
      </c>
      <c r="H85" s="9">
        <v>39.2057563889</v>
      </c>
      <c r="I85" s="9">
        <v>-112.995605833</v>
      </c>
      <c r="J85" s="10">
        <v>1399.68</v>
      </c>
      <c r="K85" s="11">
        <v>-7505.334</v>
      </c>
      <c r="L85" s="11">
        <v>-10119.443</v>
      </c>
      <c r="M85" s="11">
        <v>17.177</v>
      </c>
      <c r="N85" s="11">
        <v>-7505.328</v>
      </c>
      <c r="O85" s="11">
        <v>-10119.435</v>
      </c>
      <c r="P85" s="11">
        <v>12.127</v>
      </c>
      <c r="Q85" s="11">
        <v>1413.71</v>
      </c>
      <c r="R85" s="11">
        <v>-20.078</v>
      </c>
      <c r="S85" s="12">
        <v>0.89</v>
      </c>
      <c r="T85" s="13">
        <f t="shared" si="1"/>
        <v>1394.522</v>
      </c>
      <c r="U85" s="14">
        <f t="shared" si="2"/>
        <v>5.158</v>
      </c>
      <c r="V85" s="14">
        <f t="shared" si="3"/>
        <v>0.7622321678</v>
      </c>
      <c r="W85" s="15" t="str">
        <f t="shared" si="4"/>
        <v/>
      </c>
      <c r="X85" s="11">
        <f t="shared" si="5"/>
        <v>1395.128</v>
      </c>
      <c r="Y85" s="14">
        <f t="shared" si="6"/>
        <v>-0.606</v>
      </c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</row>
    <row r="86">
      <c r="A86" s="7"/>
      <c r="B86" s="7"/>
      <c r="C86" s="7"/>
      <c r="D86" s="7"/>
      <c r="E86" s="7"/>
      <c r="F86" s="7" t="s">
        <v>22</v>
      </c>
      <c r="G86" s="8">
        <v>609.0</v>
      </c>
      <c r="H86" s="9">
        <v>39.2165411111</v>
      </c>
      <c r="I86" s="9">
        <v>-112.995616111</v>
      </c>
      <c r="J86" s="10">
        <v>1403.01</v>
      </c>
      <c r="K86" s="11">
        <v>-7505.054</v>
      </c>
      <c r="L86" s="11">
        <v>-8921.84</v>
      </c>
      <c r="M86" s="11">
        <v>22.3</v>
      </c>
      <c r="N86" s="11">
        <v>-7505.049</v>
      </c>
      <c r="O86" s="11">
        <v>-8921.834</v>
      </c>
      <c r="P86" s="11">
        <v>18.11</v>
      </c>
      <c r="Q86" s="11">
        <v>1417.88</v>
      </c>
      <c r="R86" s="11">
        <v>-20.063</v>
      </c>
      <c r="S86" s="12">
        <v>0.89</v>
      </c>
      <c r="T86" s="13">
        <f t="shared" si="1"/>
        <v>1398.707</v>
      </c>
      <c r="U86" s="14">
        <f t="shared" si="2"/>
        <v>4.303</v>
      </c>
      <c r="V86" s="14">
        <f t="shared" si="3"/>
        <v>-0.3131944056</v>
      </c>
      <c r="W86" s="15" t="str">
        <f t="shared" si="4"/>
        <v/>
      </c>
      <c r="X86" s="11">
        <f t="shared" si="5"/>
        <v>1398.458</v>
      </c>
      <c r="Y86" s="14">
        <f t="shared" si="6"/>
        <v>0.249</v>
      </c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</row>
    <row r="87">
      <c r="A87" s="7"/>
      <c r="B87" s="7"/>
      <c r="C87" s="7"/>
      <c r="D87" s="7"/>
      <c r="E87" s="7"/>
      <c r="F87" s="7" t="s">
        <v>22</v>
      </c>
      <c r="G87" s="8">
        <v>610.0</v>
      </c>
      <c r="H87" s="9">
        <v>39.2273530556</v>
      </c>
      <c r="I87" s="9">
        <v>-112.995619722</v>
      </c>
      <c r="J87" s="10">
        <v>1408.9</v>
      </c>
      <c r="K87" s="11">
        <v>-7504.255</v>
      </c>
      <c r="L87" s="11">
        <v>-7721.238</v>
      </c>
      <c r="M87" s="11">
        <v>29.761</v>
      </c>
      <c r="N87" s="11">
        <v>-7504.25</v>
      </c>
      <c r="O87" s="11">
        <v>-7721.233</v>
      </c>
      <c r="P87" s="11">
        <v>25.211</v>
      </c>
      <c r="Q87" s="11">
        <v>1423.4</v>
      </c>
      <c r="R87" s="11">
        <v>-20.048</v>
      </c>
      <c r="S87" s="12">
        <v>0.89</v>
      </c>
      <c r="T87" s="13">
        <f t="shared" si="1"/>
        <v>1404.242</v>
      </c>
      <c r="U87" s="14">
        <f t="shared" si="2"/>
        <v>4.658</v>
      </c>
      <c r="V87" s="14">
        <f t="shared" si="3"/>
        <v>0.1333277389</v>
      </c>
      <c r="W87" s="15" t="str">
        <f t="shared" si="4"/>
        <v/>
      </c>
      <c r="X87" s="11">
        <f t="shared" si="5"/>
        <v>1404.348</v>
      </c>
      <c r="Y87" s="14">
        <f t="shared" si="6"/>
        <v>-0.106</v>
      </c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</row>
    <row r="88">
      <c r="A88" s="7"/>
      <c r="B88" s="7"/>
      <c r="C88" s="7"/>
      <c r="D88" s="7"/>
      <c r="E88" s="7"/>
      <c r="F88" s="7" t="s">
        <v>22</v>
      </c>
      <c r="G88" s="8">
        <v>611.0</v>
      </c>
      <c r="H88" s="9">
        <v>39.2381980556</v>
      </c>
      <c r="I88" s="9">
        <v>-112.995611667</v>
      </c>
      <c r="J88" s="10">
        <v>1412.43</v>
      </c>
      <c r="K88" s="11">
        <v>-7502.413</v>
      </c>
      <c r="L88" s="11">
        <v>-6516.966</v>
      </c>
      <c r="M88" s="11">
        <v>34.641</v>
      </c>
      <c r="N88" s="11">
        <v>-7502.409</v>
      </c>
      <c r="O88" s="11">
        <v>-6516.962</v>
      </c>
      <c r="P88" s="11">
        <v>30.631</v>
      </c>
      <c r="Q88" s="11">
        <v>1427.45</v>
      </c>
      <c r="R88" s="11">
        <v>-20.033</v>
      </c>
      <c r="S88" s="12">
        <v>0.89</v>
      </c>
      <c r="T88" s="13">
        <f t="shared" si="1"/>
        <v>1408.307</v>
      </c>
      <c r="U88" s="14">
        <f t="shared" si="2"/>
        <v>4.123</v>
      </c>
      <c r="V88" s="14">
        <f t="shared" si="3"/>
        <v>-0.5396</v>
      </c>
      <c r="W88" s="15" t="str">
        <f t="shared" si="4"/>
        <v/>
      </c>
      <c r="X88" s="11">
        <f t="shared" si="5"/>
        <v>1407.878</v>
      </c>
      <c r="Y88" s="14">
        <f t="shared" si="6"/>
        <v>0.429</v>
      </c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</row>
    <row r="89">
      <c r="A89" s="7"/>
      <c r="B89" s="7"/>
      <c r="C89" s="7"/>
      <c r="D89" s="7"/>
      <c r="E89" s="7"/>
      <c r="F89" s="7" t="s">
        <v>22</v>
      </c>
      <c r="G89" s="8">
        <v>612.0</v>
      </c>
      <c r="H89" s="9">
        <v>39.2489922222</v>
      </c>
      <c r="I89" s="9">
        <v>-112.995613889</v>
      </c>
      <c r="J89" s="10">
        <v>1419.89</v>
      </c>
      <c r="K89" s="11">
        <v>-7501.445</v>
      </c>
      <c r="L89" s="11">
        <v>-5318.356</v>
      </c>
      <c r="M89" s="11">
        <v>43.217</v>
      </c>
      <c r="N89" s="11">
        <v>-7501.439</v>
      </c>
      <c r="O89" s="11">
        <v>-5318.352</v>
      </c>
      <c r="P89" s="11">
        <v>38.397</v>
      </c>
      <c r="Q89" s="11">
        <v>1434.09</v>
      </c>
      <c r="R89" s="11">
        <v>-20.018</v>
      </c>
      <c r="S89" s="12">
        <v>0.89</v>
      </c>
      <c r="T89" s="13">
        <f t="shared" si="1"/>
        <v>1414.962</v>
      </c>
      <c r="U89" s="14">
        <f t="shared" si="2"/>
        <v>4.928</v>
      </c>
      <c r="V89" s="14">
        <f t="shared" si="3"/>
        <v>0.4729361305</v>
      </c>
      <c r="W89" s="15" t="str">
        <f t="shared" si="4"/>
        <v/>
      </c>
      <c r="X89" s="11">
        <f t="shared" si="5"/>
        <v>1415.338</v>
      </c>
      <c r="Y89" s="14">
        <f t="shared" si="6"/>
        <v>-0.376</v>
      </c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</row>
    <row r="90">
      <c r="A90" s="7"/>
      <c r="B90" s="7"/>
      <c r="C90" s="7"/>
      <c r="D90" s="7"/>
      <c r="E90" s="7"/>
      <c r="F90" s="7" t="s">
        <v>22</v>
      </c>
      <c r="G90" s="8">
        <v>613.0</v>
      </c>
      <c r="H90" s="9">
        <v>39.2598311111</v>
      </c>
      <c r="I90" s="9">
        <v>-112.995601389</v>
      </c>
      <c r="J90" s="10">
        <v>1409.57</v>
      </c>
      <c r="K90" s="11">
        <v>-7499.156</v>
      </c>
      <c r="L90" s="11">
        <v>-4114.733</v>
      </c>
      <c r="M90" s="11">
        <v>33.792</v>
      </c>
      <c r="N90" s="11">
        <v>-7499.152</v>
      </c>
      <c r="O90" s="11">
        <v>-4114.731</v>
      </c>
      <c r="P90" s="11">
        <v>30.192</v>
      </c>
      <c r="Q90" s="11">
        <v>1424.97</v>
      </c>
      <c r="R90" s="11">
        <v>-20.004</v>
      </c>
      <c r="S90" s="12">
        <v>0.89</v>
      </c>
      <c r="T90" s="13">
        <f t="shared" si="1"/>
        <v>1405.856</v>
      </c>
      <c r="U90" s="14">
        <f t="shared" si="2"/>
        <v>3.714</v>
      </c>
      <c r="V90" s="14">
        <f t="shared" si="3"/>
        <v>-1.054043823</v>
      </c>
      <c r="W90" s="15" t="str">
        <f t="shared" si="4"/>
        <v/>
      </c>
      <c r="X90" s="11">
        <f t="shared" si="5"/>
        <v>1405.018</v>
      </c>
      <c r="Y90" s="14">
        <f t="shared" si="6"/>
        <v>0.838</v>
      </c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</row>
    <row r="91">
      <c r="A91" s="7"/>
      <c r="B91" s="7"/>
      <c r="C91" s="7"/>
      <c r="D91" s="7"/>
      <c r="E91" s="7"/>
      <c r="F91" s="7" t="s">
        <v>22</v>
      </c>
      <c r="G91" s="8">
        <v>614.0</v>
      </c>
      <c r="H91" s="9">
        <v>39.2702991667</v>
      </c>
      <c r="I91" s="9">
        <v>-112.9958525</v>
      </c>
      <c r="J91" s="10">
        <v>1408.02</v>
      </c>
      <c r="K91" s="11">
        <v>-7519.79</v>
      </c>
      <c r="L91" s="11">
        <v>-2952.291</v>
      </c>
      <c r="M91" s="11">
        <v>32.863</v>
      </c>
      <c r="N91" s="11">
        <v>-7519.784</v>
      </c>
      <c r="O91" s="11">
        <v>-2952.289</v>
      </c>
      <c r="P91" s="11">
        <v>27.843</v>
      </c>
      <c r="Q91" s="11">
        <v>1421.99</v>
      </c>
      <c r="R91" s="11">
        <v>-19.989</v>
      </c>
      <c r="S91" s="12">
        <v>0.89</v>
      </c>
      <c r="T91" s="13">
        <f t="shared" si="1"/>
        <v>1402.891</v>
      </c>
      <c r="U91" s="14">
        <f t="shared" si="2"/>
        <v>5.129</v>
      </c>
      <c r="V91" s="14">
        <f t="shared" si="3"/>
        <v>0.725755711</v>
      </c>
      <c r="W91" s="15" t="str">
        <f t="shared" si="4"/>
        <v/>
      </c>
      <c r="X91" s="11">
        <f t="shared" si="5"/>
        <v>1403.468</v>
      </c>
      <c r="Y91" s="14">
        <f t="shared" si="6"/>
        <v>-0.577</v>
      </c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</row>
    <row r="92">
      <c r="A92" s="7"/>
      <c r="B92" s="7"/>
      <c r="C92" s="7"/>
      <c r="D92" s="7"/>
      <c r="E92" s="7"/>
      <c r="F92" s="7" t="s">
        <v>22</v>
      </c>
      <c r="G92" s="8">
        <v>615.0</v>
      </c>
      <c r="H92" s="9">
        <v>39.2814208333</v>
      </c>
      <c r="I92" s="9">
        <v>-112.995593333</v>
      </c>
      <c r="J92" s="10">
        <v>1412.99</v>
      </c>
      <c r="K92" s="11">
        <v>-7496.169</v>
      </c>
      <c r="L92" s="11">
        <v>-1717.269</v>
      </c>
      <c r="M92" s="11">
        <v>38.314</v>
      </c>
      <c r="N92" s="11">
        <v>-7496.163</v>
      </c>
      <c r="O92" s="11">
        <v>-1717.268</v>
      </c>
      <c r="P92" s="11">
        <v>33.934</v>
      </c>
      <c r="Q92" s="11">
        <v>1427.58</v>
      </c>
      <c r="R92" s="11">
        <v>-19.972</v>
      </c>
      <c r="S92" s="12">
        <v>0.89</v>
      </c>
      <c r="T92" s="13">
        <f t="shared" si="1"/>
        <v>1408.498</v>
      </c>
      <c r="U92" s="14">
        <f t="shared" si="2"/>
        <v>4.492</v>
      </c>
      <c r="V92" s="14">
        <f t="shared" si="3"/>
        <v>-0.07546853147</v>
      </c>
      <c r="W92" s="15" t="str">
        <f t="shared" si="4"/>
        <v/>
      </c>
      <c r="X92" s="11">
        <f t="shared" si="5"/>
        <v>1408.438</v>
      </c>
      <c r="Y92" s="14">
        <f t="shared" si="6"/>
        <v>0.06</v>
      </c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</row>
    <row r="93">
      <c r="A93" s="7"/>
      <c r="B93" s="7"/>
      <c r="C93" s="7"/>
      <c r="D93" s="7"/>
      <c r="E93" s="7"/>
      <c r="F93" s="7" t="s">
        <v>22</v>
      </c>
      <c r="G93" s="8">
        <v>616.0</v>
      </c>
      <c r="H93" s="9">
        <v>39.2922491667</v>
      </c>
      <c r="I93" s="9">
        <v>-112.995563056</v>
      </c>
      <c r="J93" s="10">
        <v>1419.74</v>
      </c>
      <c r="K93" s="11">
        <v>-7492.434</v>
      </c>
      <c r="L93" s="11">
        <v>-514.87</v>
      </c>
      <c r="M93" s="11">
        <v>45.279</v>
      </c>
      <c r="N93" s="11">
        <v>-7492.428</v>
      </c>
      <c r="O93" s="11">
        <v>-514.87</v>
      </c>
      <c r="P93" s="11">
        <v>40.759</v>
      </c>
      <c r="Q93" s="11">
        <v>1434.17</v>
      </c>
      <c r="R93" s="11">
        <v>-19.955</v>
      </c>
      <c r="S93" s="12">
        <v>0.89</v>
      </c>
      <c r="T93" s="13">
        <f t="shared" si="1"/>
        <v>1415.105</v>
      </c>
      <c r="U93" s="14">
        <f t="shared" si="2"/>
        <v>4.635</v>
      </c>
      <c r="V93" s="14">
        <f t="shared" si="3"/>
        <v>0.1043981352</v>
      </c>
      <c r="W93" s="15" t="str">
        <f t="shared" si="4"/>
        <v/>
      </c>
      <c r="X93" s="11">
        <f t="shared" si="5"/>
        <v>1415.188</v>
      </c>
      <c r="Y93" s="14">
        <f t="shared" si="6"/>
        <v>-0.083</v>
      </c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</row>
    <row r="94">
      <c r="A94" s="7"/>
      <c r="B94" s="7"/>
      <c r="C94" s="7"/>
      <c r="D94" s="7"/>
      <c r="E94" s="7"/>
      <c r="F94" s="7" t="s">
        <v>22</v>
      </c>
      <c r="G94" s="8">
        <v>617.0</v>
      </c>
      <c r="H94" s="9">
        <v>39.3030444444</v>
      </c>
      <c r="I94" s="9">
        <v>-112.995607778</v>
      </c>
      <c r="J94" s="10">
        <v>1421.42</v>
      </c>
      <c r="K94" s="11">
        <v>-7495.167</v>
      </c>
      <c r="L94" s="11">
        <v>683.874</v>
      </c>
      <c r="M94" s="11">
        <v>46.94</v>
      </c>
      <c r="N94" s="11">
        <v>-7495.163</v>
      </c>
      <c r="O94" s="11">
        <v>683.873</v>
      </c>
      <c r="P94" s="11">
        <v>42.91</v>
      </c>
      <c r="Q94" s="11">
        <v>1436.33</v>
      </c>
      <c r="R94" s="11">
        <v>-19.937</v>
      </c>
      <c r="S94" s="12">
        <v>0.89</v>
      </c>
      <c r="T94" s="13">
        <f t="shared" si="1"/>
        <v>1417.283</v>
      </c>
      <c r="U94" s="14">
        <f t="shared" si="2"/>
        <v>4.137</v>
      </c>
      <c r="V94" s="14">
        <f t="shared" si="3"/>
        <v>-0.521990676</v>
      </c>
      <c r="W94" s="15" t="str">
        <f t="shared" si="4"/>
        <v/>
      </c>
      <c r="X94" s="11">
        <f t="shared" si="5"/>
        <v>1416.868</v>
      </c>
      <c r="Y94" s="14">
        <f t="shared" si="6"/>
        <v>0.415</v>
      </c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</row>
    <row r="95">
      <c r="A95" s="7"/>
      <c r="B95" s="7"/>
      <c r="C95" s="7"/>
      <c r="D95" s="7"/>
      <c r="E95" s="7"/>
      <c r="F95" s="7" t="s">
        <v>22</v>
      </c>
      <c r="G95" s="8">
        <v>618.0</v>
      </c>
      <c r="H95" s="9">
        <v>39.3137883333</v>
      </c>
      <c r="I95" s="9">
        <v>-112.995571667</v>
      </c>
      <c r="J95" s="10">
        <v>1429.03</v>
      </c>
      <c r="K95" s="11">
        <v>-7490.925</v>
      </c>
      <c r="L95" s="11">
        <v>1876.953</v>
      </c>
      <c r="M95" s="11">
        <v>54.315</v>
      </c>
      <c r="N95" s="11">
        <v>-7490.919</v>
      </c>
      <c r="O95" s="11">
        <v>1876.951</v>
      </c>
      <c r="P95" s="11">
        <v>49.185</v>
      </c>
      <c r="Q95" s="11">
        <v>1442.82</v>
      </c>
      <c r="R95" s="11">
        <v>-19.917</v>
      </c>
      <c r="S95" s="12">
        <v>0.89</v>
      </c>
      <c r="T95" s="13">
        <f t="shared" si="1"/>
        <v>1423.793</v>
      </c>
      <c r="U95" s="14">
        <f t="shared" si="2"/>
        <v>5.237</v>
      </c>
      <c r="V95" s="14">
        <f t="shared" si="3"/>
        <v>0.8615990676</v>
      </c>
      <c r="W95" s="15" t="str">
        <f t="shared" si="4"/>
        <v/>
      </c>
      <c r="X95" s="11">
        <f t="shared" si="5"/>
        <v>1424.478</v>
      </c>
      <c r="Y95" s="14">
        <f t="shared" si="6"/>
        <v>-0.685</v>
      </c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</row>
    <row r="96">
      <c r="A96" s="7"/>
      <c r="B96" s="7"/>
      <c r="C96" s="7"/>
      <c r="D96" s="7"/>
      <c r="E96" s="7"/>
      <c r="F96" s="7" t="s">
        <v>22</v>
      </c>
      <c r="G96" s="8">
        <v>619.0</v>
      </c>
      <c r="H96" s="9">
        <v>39.3246691667</v>
      </c>
      <c r="I96" s="9">
        <v>-112.995532222</v>
      </c>
      <c r="J96" s="10">
        <v>1439.35</v>
      </c>
      <c r="K96" s="11">
        <v>-7486.327</v>
      </c>
      <c r="L96" s="11">
        <v>3085.251</v>
      </c>
      <c r="M96" s="11">
        <v>64.169</v>
      </c>
      <c r="N96" s="11">
        <v>-7486.319</v>
      </c>
      <c r="O96" s="11">
        <v>3085.248</v>
      </c>
      <c r="P96" s="11">
        <v>58.119</v>
      </c>
      <c r="Q96" s="11">
        <v>1452.19</v>
      </c>
      <c r="R96" s="11">
        <v>-19.894</v>
      </c>
      <c r="S96" s="12">
        <v>0.89</v>
      </c>
      <c r="T96" s="13">
        <f t="shared" si="1"/>
        <v>1433.186</v>
      </c>
      <c r="U96" s="14">
        <f t="shared" si="2"/>
        <v>6.164</v>
      </c>
      <c r="V96" s="14">
        <f t="shared" si="3"/>
        <v>2.027587879</v>
      </c>
      <c r="W96" s="15" t="str">
        <f t="shared" si="4"/>
        <v/>
      </c>
      <c r="X96" s="11">
        <f t="shared" si="5"/>
        <v>1434.798</v>
      </c>
      <c r="Y96" s="14">
        <f t="shared" si="6"/>
        <v>-1.612</v>
      </c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</row>
    <row r="97">
      <c r="A97" s="7"/>
      <c r="B97" s="7"/>
      <c r="C97" s="7"/>
      <c r="D97" s="7"/>
      <c r="E97" s="7"/>
      <c r="F97" s="7" t="s">
        <v>22</v>
      </c>
      <c r="G97" s="8">
        <v>620.0</v>
      </c>
      <c r="H97" s="9">
        <v>39.3355722222</v>
      </c>
      <c r="I97" s="9">
        <v>-112.995523889</v>
      </c>
      <c r="J97" s="10">
        <v>1452.32</v>
      </c>
      <c r="K97" s="11">
        <v>-7484.489</v>
      </c>
      <c r="L97" s="11">
        <v>4296.003</v>
      </c>
      <c r="M97" s="11">
        <v>76.439</v>
      </c>
      <c r="N97" s="11">
        <v>-7484.482</v>
      </c>
      <c r="O97" s="11">
        <v>4295.998</v>
      </c>
      <c r="P97" s="11">
        <v>70.019</v>
      </c>
      <c r="Q97" s="11">
        <v>1464.77</v>
      </c>
      <c r="R97" s="11">
        <v>-19.867</v>
      </c>
      <c r="S97" s="12">
        <v>0.89</v>
      </c>
      <c r="T97" s="13">
        <f t="shared" si="1"/>
        <v>1445.793</v>
      </c>
      <c r="U97" s="14">
        <f t="shared" si="2"/>
        <v>6.527</v>
      </c>
      <c r="V97" s="14">
        <f t="shared" si="3"/>
        <v>2.484172494</v>
      </c>
      <c r="W97" s="15" t="str">
        <f t="shared" si="4"/>
        <v/>
      </c>
      <c r="X97" s="11">
        <f t="shared" si="5"/>
        <v>1447.768</v>
      </c>
      <c r="Y97" s="14">
        <f t="shared" si="6"/>
        <v>-1.975</v>
      </c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</row>
    <row r="98">
      <c r="A98" s="7"/>
      <c r="B98" s="7"/>
      <c r="C98" s="7"/>
      <c r="D98" s="7"/>
      <c r="E98" s="7"/>
      <c r="F98" s="7" t="s">
        <v>22</v>
      </c>
      <c r="G98" s="8">
        <v>621.0</v>
      </c>
      <c r="H98" s="9">
        <v>39.3462286111</v>
      </c>
      <c r="I98" s="9">
        <v>-112.995513889</v>
      </c>
      <c r="J98" s="10">
        <v>1470.03</v>
      </c>
      <c r="K98" s="11">
        <v>-7482.511</v>
      </c>
      <c r="L98" s="11">
        <v>5479.448</v>
      </c>
      <c r="M98" s="11">
        <v>93.242</v>
      </c>
      <c r="N98" s="11">
        <v>-7482.506</v>
      </c>
      <c r="O98" s="11">
        <v>5479.444</v>
      </c>
      <c r="P98" s="11">
        <v>88.962</v>
      </c>
      <c r="Q98" s="11">
        <v>1484.59</v>
      </c>
      <c r="R98" s="11">
        <v>-19.838</v>
      </c>
      <c r="S98" s="12">
        <v>0.89</v>
      </c>
      <c r="T98" s="13">
        <f t="shared" si="1"/>
        <v>1465.642</v>
      </c>
      <c r="U98" s="14">
        <f t="shared" si="2"/>
        <v>4.388</v>
      </c>
      <c r="V98" s="14">
        <f t="shared" si="3"/>
        <v>-0.2062806527</v>
      </c>
      <c r="W98" s="15" t="str">
        <f t="shared" si="4"/>
        <v/>
      </c>
      <c r="X98" s="11">
        <f t="shared" si="5"/>
        <v>1465.478</v>
      </c>
      <c r="Y98" s="14">
        <f t="shared" si="6"/>
        <v>0.164</v>
      </c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</row>
    <row r="99">
      <c r="A99" s="7"/>
      <c r="B99" s="7"/>
      <c r="C99" s="7"/>
      <c r="D99" s="7"/>
      <c r="E99" s="7"/>
      <c r="F99" s="7" t="s">
        <v>22</v>
      </c>
      <c r="G99" s="8">
        <v>701.0</v>
      </c>
      <c r="H99" s="9">
        <v>39.1300644444</v>
      </c>
      <c r="I99" s="9">
        <v>-112.981807222</v>
      </c>
      <c r="J99" s="10">
        <v>1374.71</v>
      </c>
      <c r="K99" s="11">
        <v>-6319.932</v>
      </c>
      <c r="L99" s="11">
        <v>-18525.475</v>
      </c>
      <c r="M99" s="11">
        <v>-25.433</v>
      </c>
      <c r="N99" s="11">
        <v>-6319.928</v>
      </c>
      <c r="O99" s="11">
        <v>-18525.462</v>
      </c>
      <c r="P99" s="11">
        <v>-29.833</v>
      </c>
      <c r="Q99" s="11">
        <v>1389.47</v>
      </c>
      <c r="R99" s="11">
        <v>-20.164</v>
      </c>
      <c r="S99" s="12">
        <v>0.89</v>
      </c>
      <c r="T99" s="13">
        <f t="shared" si="1"/>
        <v>1370.196</v>
      </c>
      <c r="U99" s="14">
        <f t="shared" si="2"/>
        <v>4.514</v>
      </c>
      <c r="V99" s="14">
        <f t="shared" si="3"/>
        <v>-0.0477967366</v>
      </c>
      <c r="W99" s="15" t="str">
        <f t="shared" si="4"/>
        <v/>
      </c>
      <c r="X99" s="11">
        <f t="shared" si="5"/>
        <v>1370.158</v>
      </c>
      <c r="Y99" s="14">
        <f t="shared" si="6"/>
        <v>0.038</v>
      </c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</row>
    <row r="100">
      <c r="A100" s="7"/>
      <c r="B100" s="7"/>
      <c r="C100" s="7"/>
      <c r="D100" s="7"/>
      <c r="E100" s="7"/>
      <c r="F100" s="7" t="s">
        <v>22</v>
      </c>
      <c r="G100" s="8">
        <v>702.0</v>
      </c>
      <c r="H100" s="9">
        <v>39.1409638889</v>
      </c>
      <c r="I100" s="9">
        <v>-112.981769167</v>
      </c>
      <c r="J100" s="10">
        <v>1376.48</v>
      </c>
      <c r="K100" s="11">
        <v>-6315.673</v>
      </c>
      <c r="L100" s="11">
        <v>-17315.129</v>
      </c>
      <c r="M100" s="11">
        <v>-20.25</v>
      </c>
      <c r="N100" s="11">
        <v>-6315.669</v>
      </c>
      <c r="O100" s="11">
        <v>-17315.116</v>
      </c>
      <c r="P100" s="11">
        <v>-25.07</v>
      </c>
      <c r="Q100" s="11">
        <v>1390.81</v>
      </c>
      <c r="R100" s="11">
        <v>-20.155</v>
      </c>
      <c r="S100" s="12">
        <v>0.89</v>
      </c>
      <c r="T100" s="13">
        <f t="shared" si="1"/>
        <v>1371.545</v>
      </c>
      <c r="U100" s="14">
        <f t="shared" si="2"/>
        <v>4.935</v>
      </c>
      <c r="V100" s="14">
        <f t="shared" si="3"/>
        <v>0.4817407925</v>
      </c>
      <c r="W100" s="15" t="str">
        <f t="shared" si="4"/>
        <v/>
      </c>
      <c r="X100" s="11">
        <f t="shared" si="5"/>
        <v>1371.928</v>
      </c>
      <c r="Y100" s="14">
        <f t="shared" si="6"/>
        <v>-0.383</v>
      </c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</row>
    <row r="101">
      <c r="A101" s="7"/>
      <c r="B101" s="7"/>
      <c r="C101" s="7"/>
      <c r="D101" s="7"/>
      <c r="E101" s="7"/>
      <c r="F101" s="7" t="s">
        <v>22</v>
      </c>
      <c r="G101" s="8">
        <v>703.0</v>
      </c>
      <c r="H101" s="9">
        <v>39.1516752778</v>
      </c>
      <c r="I101" s="9">
        <v>-112.981766667</v>
      </c>
      <c r="J101" s="10">
        <v>1384.83</v>
      </c>
      <c r="K101" s="11">
        <v>-6314.552</v>
      </c>
      <c r="L101" s="11">
        <v>-16125.781</v>
      </c>
      <c r="M101" s="11">
        <v>-8.773</v>
      </c>
      <c r="N101" s="11">
        <v>-6314.548</v>
      </c>
      <c r="O101" s="11">
        <v>-16125.771</v>
      </c>
      <c r="P101" s="11">
        <v>-12.673</v>
      </c>
      <c r="Q101" s="11">
        <v>1400.07</v>
      </c>
      <c r="R101" s="11">
        <v>-20.145</v>
      </c>
      <c r="S101" s="12">
        <v>0.89</v>
      </c>
      <c r="T101" s="13">
        <f t="shared" si="1"/>
        <v>1380.815</v>
      </c>
      <c r="U101" s="14">
        <f t="shared" si="2"/>
        <v>4.015</v>
      </c>
      <c r="V101" s="14">
        <f t="shared" si="3"/>
        <v>-0.6754433566</v>
      </c>
      <c r="W101" s="15" t="str">
        <f t="shared" si="4"/>
        <v/>
      </c>
      <c r="X101" s="11">
        <f t="shared" si="5"/>
        <v>1380.278</v>
      </c>
      <c r="Y101" s="14">
        <f t="shared" si="6"/>
        <v>0.537</v>
      </c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</row>
    <row r="102">
      <c r="A102" s="7"/>
      <c r="B102" s="7"/>
      <c r="C102" s="7"/>
      <c r="D102" s="7"/>
      <c r="E102" s="7"/>
      <c r="F102" s="7" t="s">
        <v>22</v>
      </c>
      <c r="G102" s="8">
        <v>704.0</v>
      </c>
      <c r="H102" s="9">
        <v>39.1625236111</v>
      </c>
      <c r="I102" s="9">
        <v>-112.981774444</v>
      </c>
      <c r="J102" s="10">
        <v>1391.6</v>
      </c>
      <c r="K102" s="11">
        <v>-6314.194</v>
      </c>
      <c r="L102" s="11">
        <v>-14921.099</v>
      </c>
      <c r="M102" s="11">
        <v>0.937</v>
      </c>
      <c r="N102" s="11">
        <v>-6314.189</v>
      </c>
      <c r="O102" s="11">
        <v>-14921.088</v>
      </c>
      <c r="P102" s="11">
        <v>-3.553</v>
      </c>
      <c r="Q102" s="11">
        <v>1406.24</v>
      </c>
      <c r="R102" s="11">
        <v>-20.132</v>
      </c>
      <c r="S102" s="12">
        <v>0.89</v>
      </c>
      <c r="T102" s="13">
        <f t="shared" si="1"/>
        <v>1386.998</v>
      </c>
      <c r="U102" s="14">
        <f t="shared" si="2"/>
        <v>4.602</v>
      </c>
      <c r="V102" s="14">
        <f t="shared" si="3"/>
        <v>0.06289044289</v>
      </c>
      <c r="W102" s="15" t="str">
        <f t="shared" si="4"/>
        <v/>
      </c>
      <c r="X102" s="11">
        <f t="shared" si="5"/>
        <v>1387.048</v>
      </c>
      <c r="Y102" s="14">
        <f t="shared" si="6"/>
        <v>-0.05</v>
      </c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</row>
    <row r="103">
      <c r="A103" s="7"/>
      <c r="B103" s="7"/>
      <c r="C103" s="7"/>
      <c r="D103" s="7"/>
      <c r="E103" s="7"/>
      <c r="F103" s="7" t="s">
        <v>22</v>
      </c>
      <c r="G103" s="8">
        <v>705.0</v>
      </c>
      <c r="H103" s="9">
        <v>39.1732486111</v>
      </c>
      <c r="I103" s="9">
        <v>-112.981807778</v>
      </c>
      <c r="J103" s="10">
        <v>1395.83</v>
      </c>
      <c r="K103" s="11">
        <v>-6316.178</v>
      </c>
      <c r="L103" s="11">
        <v>-13730.173</v>
      </c>
      <c r="M103" s="11">
        <v>7.846</v>
      </c>
      <c r="N103" s="11">
        <v>-6316.172</v>
      </c>
      <c r="O103" s="11">
        <v>-13730.161</v>
      </c>
      <c r="P103" s="11">
        <v>2.186</v>
      </c>
      <c r="Q103" s="11">
        <v>1409.29</v>
      </c>
      <c r="R103" s="11">
        <v>-20.12</v>
      </c>
      <c r="S103" s="12">
        <v>0.89</v>
      </c>
      <c r="T103" s="13">
        <f t="shared" si="1"/>
        <v>1390.06</v>
      </c>
      <c r="U103" s="14">
        <f t="shared" si="2"/>
        <v>5.77</v>
      </c>
      <c r="V103" s="14">
        <f t="shared" si="3"/>
        <v>1.532011189</v>
      </c>
      <c r="W103" s="15" t="str">
        <f t="shared" si="4"/>
        <v/>
      </c>
      <c r="X103" s="11">
        <f t="shared" si="5"/>
        <v>1391.278</v>
      </c>
      <c r="Y103" s="14">
        <f t="shared" si="6"/>
        <v>-1.218</v>
      </c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</row>
    <row r="104">
      <c r="A104" s="7"/>
      <c r="B104" s="7"/>
      <c r="C104" s="7"/>
      <c r="D104" s="7"/>
      <c r="E104" s="7"/>
      <c r="F104" s="7" t="s">
        <v>22</v>
      </c>
      <c r="G104" s="8">
        <v>706.0</v>
      </c>
      <c r="H104" s="9">
        <v>39.1840813889</v>
      </c>
      <c r="I104" s="9">
        <v>-112.981770556</v>
      </c>
      <c r="J104" s="10">
        <v>1405.73</v>
      </c>
      <c r="K104" s="11">
        <v>-6312.021</v>
      </c>
      <c r="L104" s="11">
        <v>-12527.377</v>
      </c>
      <c r="M104" s="11">
        <v>20.233</v>
      </c>
      <c r="N104" s="11">
        <v>-6312.016</v>
      </c>
      <c r="O104" s="11">
        <v>-12527.369</v>
      </c>
      <c r="P104" s="11">
        <v>15.763</v>
      </c>
      <c r="Q104" s="11">
        <v>1420.37</v>
      </c>
      <c r="R104" s="11">
        <v>-20.106</v>
      </c>
      <c r="S104" s="12">
        <v>0.89</v>
      </c>
      <c r="T104" s="13">
        <f t="shared" si="1"/>
        <v>1401.154</v>
      </c>
      <c r="U104" s="14">
        <f t="shared" si="2"/>
        <v>4.576</v>
      </c>
      <c r="V104" s="14">
        <f t="shared" si="3"/>
        <v>0.03018741259</v>
      </c>
      <c r="W104" s="15" t="str">
        <f t="shared" si="4"/>
        <v/>
      </c>
      <c r="X104" s="11">
        <f t="shared" si="5"/>
        <v>1401.178</v>
      </c>
      <c r="Y104" s="14">
        <f t="shared" si="6"/>
        <v>-0.024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</row>
    <row r="105">
      <c r="A105" s="7"/>
      <c r="B105" s="7"/>
      <c r="C105" s="7"/>
      <c r="D105" s="7"/>
      <c r="E105" s="7"/>
      <c r="F105" s="7" t="s">
        <v>22</v>
      </c>
      <c r="G105" s="8">
        <v>707.0</v>
      </c>
      <c r="H105" s="9">
        <v>39.1949505556</v>
      </c>
      <c r="I105" s="9">
        <v>-112.981753611</v>
      </c>
      <c r="J105" s="10">
        <v>1393.78</v>
      </c>
      <c r="K105" s="11">
        <v>-6309.568</v>
      </c>
      <c r="L105" s="11">
        <v>-11320.315</v>
      </c>
      <c r="M105" s="11">
        <v>10.547</v>
      </c>
      <c r="N105" s="11">
        <v>-6309.563</v>
      </c>
      <c r="O105" s="11">
        <v>-11320.307</v>
      </c>
      <c r="P105" s="11">
        <v>5.557</v>
      </c>
      <c r="Q105" s="11">
        <v>1407.88</v>
      </c>
      <c r="R105" s="11">
        <v>-20.092</v>
      </c>
      <c r="S105" s="12">
        <v>0.89</v>
      </c>
      <c r="T105" s="13">
        <f t="shared" si="1"/>
        <v>1388.678</v>
      </c>
      <c r="U105" s="14">
        <f t="shared" si="2"/>
        <v>5.102</v>
      </c>
      <c r="V105" s="14">
        <f t="shared" si="3"/>
        <v>0.6917948718</v>
      </c>
      <c r="W105" s="15" t="str">
        <f t="shared" si="4"/>
        <v/>
      </c>
      <c r="X105" s="11">
        <f t="shared" si="5"/>
        <v>1389.228</v>
      </c>
      <c r="Y105" s="14">
        <f t="shared" si="6"/>
        <v>-0.55</v>
      </c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</row>
    <row r="106">
      <c r="A106" s="7"/>
      <c r="B106" s="7"/>
      <c r="C106" s="7"/>
      <c r="D106" s="7"/>
      <c r="E106" s="7"/>
      <c r="F106" s="7" t="s">
        <v>22</v>
      </c>
      <c r="G106" s="8">
        <v>708.0</v>
      </c>
      <c r="H106" s="9">
        <v>39.2057630556</v>
      </c>
      <c r="I106" s="9">
        <v>-112.981654167</v>
      </c>
      <c r="J106" s="10">
        <v>1393.66</v>
      </c>
      <c r="K106" s="11">
        <v>-6299.961</v>
      </c>
      <c r="L106" s="11">
        <v>-10119.721</v>
      </c>
      <c r="M106" s="11">
        <v>12.46</v>
      </c>
      <c r="N106" s="11">
        <v>-6299.958</v>
      </c>
      <c r="O106" s="11">
        <v>-10119.715</v>
      </c>
      <c r="P106" s="11">
        <v>8.66</v>
      </c>
      <c r="Q106" s="11">
        <v>1408.94</v>
      </c>
      <c r="R106" s="11">
        <v>-20.078</v>
      </c>
      <c r="S106" s="12">
        <v>0.89</v>
      </c>
      <c r="T106" s="13">
        <f t="shared" si="1"/>
        <v>1389.752</v>
      </c>
      <c r="U106" s="14">
        <f t="shared" si="2"/>
        <v>3.908</v>
      </c>
      <c r="V106" s="14">
        <f t="shared" si="3"/>
        <v>-0.8100289044</v>
      </c>
      <c r="W106" s="15" t="str">
        <f t="shared" si="4"/>
        <v/>
      </c>
      <c r="X106" s="11">
        <f t="shared" si="5"/>
        <v>1389.108</v>
      </c>
      <c r="Y106" s="14">
        <f t="shared" si="6"/>
        <v>0.644</v>
      </c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</row>
    <row r="107">
      <c r="A107" s="7"/>
      <c r="B107" s="7"/>
      <c r="C107" s="7"/>
      <c r="D107" s="7"/>
      <c r="E107" s="7"/>
      <c r="F107" s="7" t="s">
        <v>22</v>
      </c>
      <c r="G107" s="8">
        <v>709.0</v>
      </c>
      <c r="H107" s="9">
        <v>39.2165402778</v>
      </c>
      <c r="I107" s="9">
        <v>-112.981701389</v>
      </c>
      <c r="J107" s="10">
        <v>1397.26</v>
      </c>
      <c r="K107" s="11">
        <v>-6303.062</v>
      </c>
      <c r="L107" s="11">
        <v>-8923.005</v>
      </c>
      <c r="M107" s="11">
        <v>17.847</v>
      </c>
      <c r="N107" s="11">
        <v>-6303.057</v>
      </c>
      <c r="O107" s="11">
        <v>-8922.998</v>
      </c>
      <c r="P107" s="11">
        <v>13.387</v>
      </c>
      <c r="Q107" s="11">
        <v>1411.86</v>
      </c>
      <c r="R107" s="11">
        <v>-20.064</v>
      </c>
      <c r="S107" s="12">
        <v>0.89</v>
      </c>
      <c r="T107" s="13">
        <f t="shared" si="1"/>
        <v>1392.686</v>
      </c>
      <c r="U107" s="14">
        <f t="shared" si="2"/>
        <v>4.574</v>
      </c>
      <c r="V107" s="14">
        <f t="shared" si="3"/>
        <v>0.02767179487</v>
      </c>
      <c r="W107" s="15" t="str">
        <f t="shared" si="4"/>
        <v/>
      </c>
      <c r="X107" s="11">
        <f t="shared" si="5"/>
        <v>1392.708</v>
      </c>
      <c r="Y107" s="14">
        <f t="shared" si="6"/>
        <v>-0.022</v>
      </c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</row>
    <row r="108">
      <c r="A108" s="7"/>
      <c r="B108" s="7"/>
      <c r="C108" s="7"/>
      <c r="D108" s="7"/>
      <c r="E108" s="7"/>
      <c r="F108" s="7" t="s">
        <v>22</v>
      </c>
      <c r="G108" s="8">
        <v>710.0</v>
      </c>
      <c r="H108" s="9">
        <v>39.2273483333</v>
      </c>
      <c r="I108" s="9">
        <v>-112.981744444</v>
      </c>
      <c r="J108" s="10">
        <v>1399.34</v>
      </c>
      <c r="K108" s="11">
        <v>-6305.811</v>
      </c>
      <c r="L108" s="11">
        <v>-7722.841</v>
      </c>
      <c r="M108" s="11">
        <v>21.495</v>
      </c>
      <c r="N108" s="11">
        <v>-6305.807</v>
      </c>
      <c r="O108" s="11">
        <v>-7722.836</v>
      </c>
      <c r="P108" s="11">
        <v>17.205</v>
      </c>
      <c r="Q108" s="11">
        <v>1414.1</v>
      </c>
      <c r="R108" s="11">
        <v>-20.049</v>
      </c>
      <c r="S108" s="12">
        <v>0.89</v>
      </c>
      <c r="T108" s="13">
        <f t="shared" si="1"/>
        <v>1394.941</v>
      </c>
      <c r="U108" s="14">
        <f t="shared" si="2"/>
        <v>4.399</v>
      </c>
      <c r="V108" s="14">
        <f t="shared" si="3"/>
        <v>-0.1924447552</v>
      </c>
      <c r="W108" s="15" t="str">
        <f t="shared" si="4"/>
        <v/>
      </c>
      <c r="X108" s="11">
        <f t="shared" si="5"/>
        <v>1394.788</v>
      </c>
      <c r="Y108" s="14">
        <f t="shared" si="6"/>
        <v>0.153</v>
      </c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</row>
    <row r="109">
      <c r="A109" s="7"/>
      <c r="B109" s="7"/>
      <c r="C109" s="7"/>
      <c r="D109" s="7"/>
      <c r="E109" s="7"/>
      <c r="F109" s="7" t="s">
        <v>22</v>
      </c>
      <c r="G109" s="8">
        <v>711.0</v>
      </c>
      <c r="H109" s="9">
        <v>39.2381522222</v>
      </c>
      <c r="I109" s="9">
        <v>-112.981703611</v>
      </c>
      <c r="J109" s="10">
        <v>1404.62</v>
      </c>
      <c r="K109" s="11">
        <v>-6301.395</v>
      </c>
      <c r="L109" s="11">
        <v>-6523.127</v>
      </c>
      <c r="M109" s="11">
        <v>28.122</v>
      </c>
      <c r="N109" s="11">
        <v>-6301.391</v>
      </c>
      <c r="O109" s="11">
        <v>-6523.123</v>
      </c>
      <c r="P109" s="11">
        <v>23.822</v>
      </c>
      <c r="Q109" s="11">
        <v>1419.35</v>
      </c>
      <c r="R109" s="11">
        <v>-20.034</v>
      </c>
      <c r="S109" s="12">
        <v>0.89</v>
      </c>
      <c r="T109" s="13">
        <f t="shared" si="1"/>
        <v>1400.206</v>
      </c>
      <c r="U109" s="14">
        <f t="shared" si="2"/>
        <v>4.414</v>
      </c>
      <c r="V109" s="14">
        <f t="shared" si="3"/>
        <v>-0.1735776224</v>
      </c>
      <c r="W109" s="15" t="str">
        <f t="shared" si="4"/>
        <v/>
      </c>
      <c r="X109" s="11">
        <f t="shared" si="5"/>
        <v>1400.068</v>
      </c>
      <c r="Y109" s="14">
        <f t="shared" si="6"/>
        <v>0.138</v>
      </c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</row>
    <row r="110">
      <c r="A110" s="7"/>
      <c r="B110" s="7"/>
      <c r="C110" s="7"/>
      <c r="D110" s="7"/>
      <c r="E110" s="7"/>
      <c r="F110" s="7" t="s">
        <v>22</v>
      </c>
      <c r="G110" s="8">
        <v>712.0</v>
      </c>
      <c r="H110" s="9">
        <v>39.2485391667</v>
      </c>
      <c r="I110" s="9">
        <v>-112.982763056</v>
      </c>
      <c r="J110" s="10">
        <v>1409.97</v>
      </c>
      <c r="K110" s="11">
        <v>-6391.907</v>
      </c>
      <c r="L110" s="11">
        <v>-5369.637</v>
      </c>
      <c r="M110" s="11">
        <v>34.46</v>
      </c>
      <c r="N110" s="11">
        <v>-6391.903</v>
      </c>
      <c r="O110" s="11">
        <v>-5369.634</v>
      </c>
      <c r="P110" s="11">
        <v>30.92</v>
      </c>
      <c r="Q110" s="11">
        <v>1425.45</v>
      </c>
      <c r="R110" s="11">
        <v>-20.02</v>
      </c>
      <c r="S110" s="12">
        <v>0.89</v>
      </c>
      <c r="T110" s="13">
        <f t="shared" si="1"/>
        <v>1406.32</v>
      </c>
      <c r="U110" s="14">
        <f t="shared" si="2"/>
        <v>3.65</v>
      </c>
      <c r="V110" s="14">
        <f t="shared" si="3"/>
        <v>-1.13454359</v>
      </c>
      <c r="W110" s="15" t="str">
        <f t="shared" si="4"/>
        <v/>
      </c>
      <c r="X110" s="11">
        <f t="shared" si="5"/>
        <v>1405.418</v>
      </c>
      <c r="Y110" s="14">
        <f t="shared" si="6"/>
        <v>0.902</v>
      </c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</row>
    <row r="111">
      <c r="A111" s="7"/>
      <c r="B111" s="7"/>
      <c r="C111" s="7"/>
      <c r="D111" s="7"/>
      <c r="E111" s="7"/>
      <c r="F111" s="7" t="s">
        <v>22</v>
      </c>
      <c r="G111" s="8">
        <v>713.0</v>
      </c>
      <c r="H111" s="9">
        <v>39.2598125</v>
      </c>
      <c r="I111" s="9">
        <v>-112.981687222</v>
      </c>
      <c r="J111" s="10">
        <v>1404.04</v>
      </c>
      <c r="K111" s="11">
        <v>-6297.989</v>
      </c>
      <c r="L111" s="11">
        <v>-4117.789</v>
      </c>
      <c r="M111" s="11">
        <v>29.557</v>
      </c>
      <c r="N111" s="11">
        <v>-6297.984</v>
      </c>
      <c r="O111" s="11">
        <v>-4117.786</v>
      </c>
      <c r="P111" s="11">
        <v>24.967</v>
      </c>
      <c r="Q111" s="11">
        <v>1418.45</v>
      </c>
      <c r="R111" s="11">
        <v>-20.004</v>
      </c>
      <c r="S111" s="12">
        <v>0.89</v>
      </c>
      <c r="T111" s="13">
        <f t="shared" si="1"/>
        <v>1399.336</v>
      </c>
      <c r="U111" s="14">
        <f t="shared" si="2"/>
        <v>4.704</v>
      </c>
      <c r="V111" s="14">
        <f t="shared" si="3"/>
        <v>0.1911869464</v>
      </c>
      <c r="W111" s="15" t="str">
        <f t="shared" si="4"/>
        <v/>
      </c>
      <c r="X111" s="11">
        <f t="shared" si="5"/>
        <v>1399.488</v>
      </c>
      <c r="Y111" s="14">
        <f t="shared" si="6"/>
        <v>-0.152</v>
      </c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</row>
    <row r="112">
      <c r="A112" s="7"/>
      <c r="B112" s="7"/>
      <c r="C112" s="7"/>
      <c r="D112" s="7"/>
      <c r="E112" s="7"/>
      <c r="F112" s="7" t="s">
        <v>22</v>
      </c>
      <c r="G112" s="8">
        <v>714.0</v>
      </c>
      <c r="H112" s="9">
        <v>39.2706394444</v>
      </c>
      <c r="I112" s="9">
        <v>-112.981673611</v>
      </c>
      <c r="J112" s="10">
        <v>1405.04</v>
      </c>
      <c r="K112" s="11">
        <v>-6295.899</v>
      </c>
      <c r="L112" s="11">
        <v>-2915.617</v>
      </c>
      <c r="M112" s="11">
        <v>31.223</v>
      </c>
      <c r="N112" s="11">
        <v>-6295.893</v>
      </c>
      <c r="O112" s="11">
        <v>-2915.615</v>
      </c>
      <c r="P112" s="11">
        <v>25.503</v>
      </c>
      <c r="Q112" s="11">
        <v>1418.31</v>
      </c>
      <c r="R112" s="11">
        <v>-19.988</v>
      </c>
      <c r="S112" s="12">
        <v>0.89</v>
      </c>
      <c r="T112" s="13">
        <f t="shared" si="1"/>
        <v>1399.212</v>
      </c>
      <c r="U112" s="14">
        <f t="shared" si="2"/>
        <v>5.828</v>
      </c>
      <c r="V112" s="14">
        <f t="shared" si="3"/>
        <v>1.604964103</v>
      </c>
      <c r="W112" s="15" t="str">
        <f t="shared" si="4"/>
        <v/>
      </c>
      <c r="X112" s="11">
        <f t="shared" si="5"/>
        <v>1400.488</v>
      </c>
      <c r="Y112" s="14">
        <f t="shared" si="6"/>
        <v>-1.276</v>
      </c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</row>
    <row r="113">
      <c r="A113" s="7"/>
      <c r="B113" s="7"/>
      <c r="C113" s="7"/>
      <c r="D113" s="7"/>
      <c r="E113" s="7"/>
      <c r="F113" s="7" t="s">
        <v>22</v>
      </c>
      <c r="G113" s="8">
        <v>715.0</v>
      </c>
      <c r="H113" s="9">
        <v>39.281485</v>
      </c>
      <c r="I113" s="9">
        <v>-112.981690833</v>
      </c>
      <c r="J113" s="10">
        <v>1413.97</v>
      </c>
      <c r="K113" s="11">
        <v>-6296.404</v>
      </c>
      <c r="L113" s="11">
        <v>-1711.222</v>
      </c>
      <c r="M113" s="11">
        <v>40.591</v>
      </c>
      <c r="N113" s="11">
        <v>-6296.4</v>
      </c>
      <c r="O113" s="11">
        <v>-1711.221</v>
      </c>
      <c r="P113" s="11">
        <v>35.691</v>
      </c>
      <c r="Q113" s="11">
        <v>1428.04</v>
      </c>
      <c r="R113" s="11">
        <v>-19.972</v>
      </c>
      <c r="S113" s="12">
        <v>0.89</v>
      </c>
      <c r="T113" s="13">
        <f t="shared" si="1"/>
        <v>1408.958</v>
      </c>
      <c r="U113" s="14">
        <f t="shared" si="2"/>
        <v>5.012</v>
      </c>
      <c r="V113" s="14">
        <f t="shared" si="3"/>
        <v>0.5785920746</v>
      </c>
      <c r="W113" s="15" t="str">
        <f t="shared" si="4"/>
        <v/>
      </c>
      <c r="X113" s="11">
        <f t="shared" si="5"/>
        <v>1409.418</v>
      </c>
      <c r="Y113" s="14">
        <f t="shared" si="6"/>
        <v>-0.46</v>
      </c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</row>
    <row r="114">
      <c r="A114" s="7"/>
      <c r="B114" s="7"/>
      <c r="C114" s="7"/>
      <c r="D114" s="7"/>
      <c r="E114" s="7"/>
      <c r="F114" s="7" t="s">
        <v>22</v>
      </c>
      <c r="G114" s="8">
        <v>716.0</v>
      </c>
      <c r="H114" s="9">
        <v>39.2922733333</v>
      </c>
      <c r="I114" s="9">
        <v>-112.981643056</v>
      </c>
      <c r="J114" s="10">
        <v>1412.53</v>
      </c>
      <c r="K114" s="11">
        <v>-6291.295</v>
      </c>
      <c r="L114" s="11">
        <v>-513.265</v>
      </c>
      <c r="M114" s="11">
        <v>39.365</v>
      </c>
      <c r="N114" s="11">
        <v>-6291.291</v>
      </c>
      <c r="O114" s="11">
        <v>-513.265</v>
      </c>
      <c r="P114" s="11">
        <v>35.115</v>
      </c>
      <c r="Q114" s="11">
        <v>1427.23</v>
      </c>
      <c r="R114" s="11">
        <v>-19.955</v>
      </c>
      <c r="S114" s="12">
        <v>0.89</v>
      </c>
      <c r="T114" s="13">
        <f t="shared" si="1"/>
        <v>1408.165</v>
      </c>
      <c r="U114" s="14">
        <f t="shared" si="2"/>
        <v>4.365</v>
      </c>
      <c r="V114" s="14">
        <f t="shared" si="3"/>
        <v>-0.2352102564</v>
      </c>
      <c r="W114" s="15" t="str">
        <f t="shared" si="4"/>
        <v/>
      </c>
      <c r="X114" s="11">
        <f t="shared" si="5"/>
        <v>1407.978</v>
      </c>
      <c r="Y114" s="14">
        <f t="shared" si="6"/>
        <v>0.187</v>
      </c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</row>
    <row r="115">
      <c r="A115" s="7"/>
      <c r="B115" s="7"/>
      <c r="C115" s="7"/>
      <c r="D115" s="7"/>
      <c r="E115" s="7"/>
      <c r="F115" s="7" t="s">
        <v>22</v>
      </c>
      <c r="G115" s="8">
        <v>717.0</v>
      </c>
      <c r="H115" s="9">
        <v>39.3030841667</v>
      </c>
      <c r="I115" s="9">
        <v>-112.981620833</v>
      </c>
      <c r="J115" s="10">
        <v>1412.74</v>
      </c>
      <c r="K115" s="11">
        <v>-6288.43</v>
      </c>
      <c r="L115" s="11">
        <v>687.249</v>
      </c>
      <c r="M115" s="11">
        <v>39.562</v>
      </c>
      <c r="N115" s="11">
        <v>-6288.426</v>
      </c>
      <c r="O115" s="11">
        <v>687.249</v>
      </c>
      <c r="P115" s="11">
        <v>35.772</v>
      </c>
      <c r="Q115" s="11">
        <v>1427.89</v>
      </c>
      <c r="R115" s="11">
        <v>-19.937</v>
      </c>
      <c r="S115" s="12">
        <v>0.89</v>
      </c>
      <c r="T115" s="13">
        <f t="shared" si="1"/>
        <v>1408.843</v>
      </c>
      <c r="U115" s="14">
        <f t="shared" si="2"/>
        <v>3.897</v>
      </c>
      <c r="V115" s="14">
        <f t="shared" si="3"/>
        <v>-0.8238648019</v>
      </c>
      <c r="W115" s="15" t="str">
        <f t="shared" si="4"/>
        <v/>
      </c>
      <c r="X115" s="11">
        <f t="shared" si="5"/>
        <v>1408.188</v>
      </c>
      <c r="Y115" s="14">
        <f t="shared" si="6"/>
        <v>0.655</v>
      </c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</row>
    <row r="116">
      <c r="A116" s="7"/>
      <c r="B116" s="7"/>
      <c r="C116" s="7"/>
      <c r="D116" s="7"/>
      <c r="E116" s="7"/>
      <c r="F116" s="7" t="s">
        <v>22</v>
      </c>
      <c r="G116" s="8">
        <v>718.0</v>
      </c>
      <c r="H116" s="9">
        <v>39.3138952778</v>
      </c>
      <c r="I116" s="9">
        <v>-112.981636111</v>
      </c>
      <c r="J116" s="10">
        <v>1417.94</v>
      </c>
      <c r="K116" s="11">
        <v>-6288.761</v>
      </c>
      <c r="L116" s="11">
        <v>1887.77</v>
      </c>
      <c r="M116" s="11">
        <v>44.518</v>
      </c>
      <c r="N116" s="11">
        <v>-6288.757</v>
      </c>
      <c r="O116" s="11">
        <v>1887.769</v>
      </c>
      <c r="P116" s="11">
        <v>40.308</v>
      </c>
      <c r="Q116" s="11">
        <v>1432.65</v>
      </c>
      <c r="R116" s="11">
        <v>-19.918</v>
      </c>
      <c r="S116" s="12">
        <v>0.89</v>
      </c>
      <c r="T116" s="13">
        <f t="shared" si="1"/>
        <v>1413.622</v>
      </c>
      <c r="U116" s="14">
        <f t="shared" si="2"/>
        <v>4.318</v>
      </c>
      <c r="V116" s="14">
        <f t="shared" si="3"/>
        <v>-0.2943272727</v>
      </c>
      <c r="W116" s="15" t="str">
        <f t="shared" si="4"/>
        <v/>
      </c>
      <c r="X116" s="11">
        <f t="shared" si="5"/>
        <v>1413.388</v>
      </c>
      <c r="Y116" s="14">
        <f t="shared" si="6"/>
        <v>0.234</v>
      </c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</row>
    <row r="117">
      <c r="A117" s="7"/>
      <c r="B117" s="7"/>
      <c r="C117" s="7"/>
      <c r="D117" s="7"/>
      <c r="E117" s="7"/>
      <c r="F117" s="7" t="s">
        <v>22</v>
      </c>
      <c r="G117" s="8">
        <v>719.0</v>
      </c>
      <c r="H117" s="9">
        <v>39.3246975</v>
      </c>
      <c r="I117" s="9">
        <v>-112.981571667</v>
      </c>
      <c r="J117" s="10">
        <v>1427.24</v>
      </c>
      <c r="K117" s="11">
        <v>-6282.283</v>
      </c>
      <c r="L117" s="11">
        <v>3087.403</v>
      </c>
      <c r="M117" s="11">
        <v>53.356</v>
      </c>
      <c r="N117" s="11">
        <v>-6282.278</v>
      </c>
      <c r="O117" s="11">
        <v>3087.401</v>
      </c>
      <c r="P117" s="11">
        <v>48.036</v>
      </c>
      <c r="Q117" s="11">
        <v>1440.82</v>
      </c>
      <c r="R117" s="11">
        <v>-19.896</v>
      </c>
      <c r="S117" s="12">
        <v>0.89</v>
      </c>
      <c r="T117" s="13">
        <f t="shared" si="1"/>
        <v>1421.814</v>
      </c>
      <c r="U117" s="14">
        <f t="shared" si="2"/>
        <v>5.426</v>
      </c>
      <c r="V117" s="14">
        <f t="shared" si="3"/>
        <v>1.099324942</v>
      </c>
      <c r="W117" s="15" t="str">
        <f t="shared" si="4"/>
        <v/>
      </c>
      <c r="X117" s="11">
        <f t="shared" si="5"/>
        <v>1422.688</v>
      </c>
      <c r="Y117" s="14">
        <f t="shared" si="6"/>
        <v>-0.874</v>
      </c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</row>
    <row r="118">
      <c r="A118" s="7"/>
      <c r="B118" s="7"/>
      <c r="C118" s="7"/>
      <c r="D118" s="7"/>
      <c r="E118" s="7"/>
      <c r="F118" s="7" t="s">
        <v>22</v>
      </c>
      <c r="G118" s="8">
        <v>720.0</v>
      </c>
      <c r="H118" s="9">
        <v>39.3354791667</v>
      </c>
      <c r="I118" s="9">
        <v>-112.981619722</v>
      </c>
      <c r="J118" s="10">
        <v>1439.41</v>
      </c>
      <c r="K118" s="11">
        <v>-6285.47</v>
      </c>
      <c r="L118" s="11">
        <v>4284.608</v>
      </c>
      <c r="M118" s="11">
        <v>64.829</v>
      </c>
      <c r="N118" s="11">
        <v>-6285.466</v>
      </c>
      <c r="O118" s="11">
        <v>4284.606</v>
      </c>
      <c r="P118" s="11">
        <v>60.509</v>
      </c>
      <c r="Q118" s="11">
        <v>1453.96</v>
      </c>
      <c r="R118" s="11">
        <v>-19.87</v>
      </c>
      <c r="S118" s="12">
        <v>0.89</v>
      </c>
      <c r="T118" s="13">
        <f t="shared" si="1"/>
        <v>1434.98</v>
      </c>
      <c r="U118" s="14">
        <f t="shared" si="2"/>
        <v>4.43</v>
      </c>
      <c r="V118" s="14">
        <f t="shared" si="3"/>
        <v>-0.1534526807</v>
      </c>
      <c r="W118" s="15" t="str">
        <f t="shared" si="4"/>
        <v/>
      </c>
      <c r="X118" s="11">
        <f t="shared" si="5"/>
        <v>1434.858</v>
      </c>
      <c r="Y118" s="14">
        <f t="shared" si="6"/>
        <v>0.122</v>
      </c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</row>
    <row r="119">
      <c r="A119" s="7"/>
      <c r="B119" s="7"/>
      <c r="C119" s="7"/>
      <c r="D119" s="7"/>
      <c r="E119" s="7"/>
      <c r="F119" s="7" t="s">
        <v>22</v>
      </c>
      <c r="G119" s="8">
        <v>721.0</v>
      </c>
      <c r="H119" s="9">
        <v>39.3463744444</v>
      </c>
      <c r="I119" s="9">
        <v>-112.981645556</v>
      </c>
      <c r="J119" s="10">
        <v>1455.51</v>
      </c>
      <c r="K119" s="11">
        <v>-6286.752</v>
      </c>
      <c r="L119" s="11">
        <v>5494.482</v>
      </c>
      <c r="M119" s="11">
        <v>79.998</v>
      </c>
      <c r="N119" s="11">
        <v>-6286.748</v>
      </c>
      <c r="O119" s="11">
        <v>5494.478</v>
      </c>
      <c r="P119" s="11">
        <v>75.478</v>
      </c>
      <c r="Q119" s="11">
        <v>1469.83</v>
      </c>
      <c r="R119" s="11">
        <v>-19.841</v>
      </c>
      <c r="S119" s="12">
        <v>0.89</v>
      </c>
      <c r="T119" s="13">
        <f t="shared" si="1"/>
        <v>1450.879</v>
      </c>
      <c r="U119" s="14">
        <f t="shared" si="2"/>
        <v>4.631</v>
      </c>
      <c r="V119" s="14">
        <f t="shared" si="3"/>
        <v>0.09936689977</v>
      </c>
      <c r="W119" s="15" t="str">
        <f t="shared" si="4"/>
        <v/>
      </c>
      <c r="X119" s="11">
        <f t="shared" si="5"/>
        <v>1450.958</v>
      </c>
      <c r="Y119" s="14">
        <f t="shared" si="6"/>
        <v>-0.079</v>
      </c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</row>
    <row r="120">
      <c r="A120" s="7"/>
      <c r="B120" s="7"/>
      <c r="C120" s="7"/>
      <c r="D120" s="7"/>
      <c r="E120" s="7"/>
      <c r="F120" s="7" t="s">
        <v>22</v>
      </c>
      <c r="G120" s="8">
        <v>722.0</v>
      </c>
      <c r="H120" s="9">
        <v>39.3571388889</v>
      </c>
      <c r="I120" s="9">
        <v>-112.981605556</v>
      </c>
      <c r="J120" s="10">
        <v>1476.96</v>
      </c>
      <c r="K120" s="11">
        <v>-6282.36</v>
      </c>
      <c r="L120" s="11">
        <v>6689.928</v>
      </c>
      <c r="M120" s="11">
        <v>100.308</v>
      </c>
      <c r="N120" s="11">
        <v>-6282.355</v>
      </c>
      <c r="O120" s="11">
        <v>6689.923</v>
      </c>
      <c r="P120" s="11">
        <v>95.538</v>
      </c>
      <c r="Q120" s="11">
        <v>1491.0</v>
      </c>
      <c r="R120" s="11">
        <v>-19.807</v>
      </c>
      <c r="S120" s="12">
        <v>0.89</v>
      </c>
      <c r="T120" s="13">
        <f t="shared" si="1"/>
        <v>1472.083</v>
      </c>
      <c r="U120" s="14">
        <f t="shared" si="2"/>
        <v>4.877</v>
      </c>
      <c r="V120" s="14">
        <f t="shared" si="3"/>
        <v>0.4087878788</v>
      </c>
      <c r="W120" s="15" t="str">
        <f t="shared" si="4"/>
        <v/>
      </c>
      <c r="X120" s="11">
        <f t="shared" si="5"/>
        <v>1472.408</v>
      </c>
      <c r="Y120" s="14">
        <f t="shared" si="6"/>
        <v>-0.325</v>
      </c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</row>
    <row r="121">
      <c r="A121" s="7"/>
      <c r="B121" s="7"/>
      <c r="C121" s="7"/>
      <c r="D121" s="7"/>
      <c r="E121" s="7"/>
      <c r="F121" s="7" t="s">
        <v>22</v>
      </c>
      <c r="G121" s="8">
        <v>801.0</v>
      </c>
      <c r="H121" s="9">
        <v>39.1299613889</v>
      </c>
      <c r="I121" s="9">
        <v>-112.967944167</v>
      </c>
      <c r="J121" s="10">
        <v>1370.85</v>
      </c>
      <c r="K121" s="11">
        <v>-5120.979</v>
      </c>
      <c r="L121" s="11">
        <v>-18537.778</v>
      </c>
      <c r="M121" s="11">
        <v>-28.255</v>
      </c>
      <c r="N121" s="11">
        <v>-5120.975</v>
      </c>
      <c r="O121" s="11">
        <v>-18537.765</v>
      </c>
      <c r="P121" s="11">
        <v>-32.735</v>
      </c>
      <c r="Q121" s="11">
        <v>1385.52</v>
      </c>
      <c r="R121" s="11">
        <v>-20.15</v>
      </c>
      <c r="S121" s="12">
        <v>0.89</v>
      </c>
      <c r="T121" s="13">
        <f t="shared" si="1"/>
        <v>1366.26</v>
      </c>
      <c r="U121" s="14">
        <f t="shared" si="2"/>
        <v>4.59</v>
      </c>
      <c r="V121" s="14">
        <f t="shared" si="3"/>
        <v>0.0477967366</v>
      </c>
      <c r="W121" s="15" t="str">
        <f t="shared" si="4"/>
        <v/>
      </c>
      <c r="X121" s="11">
        <f t="shared" si="5"/>
        <v>1366.298</v>
      </c>
      <c r="Y121" s="14">
        <f t="shared" si="6"/>
        <v>-0.038</v>
      </c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</row>
    <row r="122">
      <c r="A122" s="7"/>
      <c r="B122" s="7"/>
      <c r="C122" s="7"/>
      <c r="D122" s="7"/>
      <c r="E122" s="7"/>
      <c r="F122" s="7" t="s">
        <v>22</v>
      </c>
      <c r="G122" s="8">
        <v>802.0</v>
      </c>
      <c r="H122" s="9">
        <v>39.1409458333</v>
      </c>
      <c r="I122" s="9">
        <v>-112.967820556</v>
      </c>
      <c r="J122" s="10">
        <v>1372.85</v>
      </c>
      <c r="K122" s="11">
        <v>-5109.549</v>
      </c>
      <c r="L122" s="11">
        <v>-17317.999</v>
      </c>
      <c r="M122" s="11">
        <v>-22.809</v>
      </c>
      <c r="N122" s="11">
        <v>-5109.546</v>
      </c>
      <c r="O122" s="11">
        <v>-17317.988</v>
      </c>
      <c r="P122" s="11">
        <v>-26.919</v>
      </c>
      <c r="Q122" s="11">
        <v>1387.88</v>
      </c>
      <c r="R122" s="11">
        <v>-20.143</v>
      </c>
      <c r="S122" s="12">
        <v>0.89</v>
      </c>
      <c r="T122" s="13">
        <f t="shared" si="1"/>
        <v>1368.627</v>
      </c>
      <c r="U122" s="14">
        <f t="shared" si="2"/>
        <v>4.223</v>
      </c>
      <c r="V122" s="14">
        <f t="shared" si="3"/>
        <v>-0.4138191142</v>
      </c>
      <c r="W122" s="15" t="str">
        <f t="shared" si="4"/>
        <v/>
      </c>
      <c r="X122" s="11">
        <f t="shared" si="5"/>
        <v>1368.298</v>
      </c>
      <c r="Y122" s="14">
        <f t="shared" si="6"/>
        <v>0.329</v>
      </c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</row>
    <row r="123">
      <c r="A123" s="7"/>
      <c r="B123" s="7"/>
      <c r="C123" s="7"/>
      <c r="D123" s="7"/>
      <c r="E123" s="7"/>
      <c r="F123" s="7" t="s">
        <v>22</v>
      </c>
      <c r="G123" s="8">
        <v>803.0</v>
      </c>
      <c r="H123" s="9">
        <v>39.1516486111</v>
      </c>
      <c r="I123" s="9">
        <v>-112.967901667</v>
      </c>
      <c r="J123" s="10">
        <v>1383.88</v>
      </c>
      <c r="K123" s="11">
        <v>-5115.787</v>
      </c>
      <c r="L123" s="11">
        <v>-16129.542</v>
      </c>
      <c r="M123" s="11">
        <v>-8.66</v>
      </c>
      <c r="N123" s="11">
        <v>-5115.784</v>
      </c>
      <c r="O123" s="11">
        <v>-16129.532</v>
      </c>
      <c r="P123" s="11">
        <v>-12.32</v>
      </c>
      <c r="Q123" s="11">
        <v>1399.35</v>
      </c>
      <c r="R123" s="11">
        <v>-20.135</v>
      </c>
      <c r="S123" s="12">
        <v>0.89</v>
      </c>
      <c r="T123" s="13">
        <f t="shared" si="1"/>
        <v>1380.105</v>
      </c>
      <c r="U123" s="14">
        <f t="shared" si="2"/>
        <v>3.775</v>
      </c>
      <c r="V123" s="14">
        <f t="shared" si="3"/>
        <v>-0.9773174825</v>
      </c>
      <c r="W123" s="15" t="str">
        <f t="shared" si="4"/>
        <v/>
      </c>
      <c r="X123" s="11">
        <f t="shared" si="5"/>
        <v>1379.328</v>
      </c>
      <c r="Y123" s="14">
        <f t="shared" si="6"/>
        <v>0.777</v>
      </c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</row>
    <row r="124">
      <c r="A124" s="7"/>
      <c r="B124" s="7"/>
      <c r="C124" s="7"/>
      <c r="D124" s="7"/>
      <c r="E124" s="7"/>
      <c r="F124" s="7" t="s">
        <v>22</v>
      </c>
      <c r="G124" s="8">
        <v>804.0</v>
      </c>
      <c r="H124" s="9">
        <v>39.1625569444</v>
      </c>
      <c r="I124" s="9">
        <v>-112.967873333</v>
      </c>
      <c r="J124" s="10">
        <v>1390.84</v>
      </c>
      <c r="K124" s="11">
        <v>-5112.496</v>
      </c>
      <c r="L124" s="11">
        <v>-14918.31</v>
      </c>
      <c r="M124" s="11">
        <v>1.258</v>
      </c>
      <c r="N124" s="11">
        <v>-5112.492</v>
      </c>
      <c r="O124" s="11">
        <v>-14918.299</v>
      </c>
      <c r="P124" s="11">
        <v>-3.712</v>
      </c>
      <c r="Q124" s="11">
        <v>1404.99</v>
      </c>
      <c r="R124" s="11">
        <v>-20.125</v>
      </c>
      <c r="S124" s="12">
        <v>0.89</v>
      </c>
      <c r="T124" s="13">
        <f t="shared" si="1"/>
        <v>1385.755</v>
      </c>
      <c r="U124" s="14">
        <f t="shared" si="2"/>
        <v>5.085</v>
      </c>
      <c r="V124" s="14">
        <f t="shared" si="3"/>
        <v>0.6704121212</v>
      </c>
      <c r="W124" s="15" t="str">
        <f t="shared" si="4"/>
        <v/>
      </c>
      <c r="X124" s="11">
        <f t="shared" si="5"/>
        <v>1386.288</v>
      </c>
      <c r="Y124" s="14">
        <f t="shared" si="6"/>
        <v>-0.533</v>
      </c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</row>
    <row r="125">
      <c r="A125" s="7"/>
      <c r="B125" s="7"/>
      <c r="C125" s="7"/>
      <c r="D125" s="7"/>
      <c r="E125" s="7"/>
      <c r="F125" s="7" t="s">
        <v>22</v>
      </c>
      <c r="G125" s="8">
        <v>805.0</v>
      </c>
      <c r="H125" s="9">
        <v>39.1732880556</v>
      </c>
      <c r="I125" s="9">
        <v>-112.967860833</v>
      </c>
      <c r="J125" s="10">
        <v>1384.69</v>
      </c>
      <c r="K125" s="11">
        <v>-5110.677</v>
      </c>
      <c r="L125" s="11">
        <v>-13726.699</v>
      </c>
      <c r="M125" s="11">
        <v>-2.208</v>
      </c>
      <c r="N125" s="11">
        <v>-5110.672</v>
      </c>
      <c r="O125" s="11">
        <v>-13726.687</v>
      </c>
      <c r="P125" s="11">
        <v>-7.838</v>
      </c>
      <c r="Q125" s="11">
        <v>1398.17</v>
      </c>
      <c r="R125" s="11">
        <v>-20.113</v>
      </c>
      <c r="S125" s="12">
        <v>0.89</v>
      </c>
      <c r="T125" s="13">
        <f t="shared" si="1"/>
        <v>1378.947</v>
      </c>
      <c r="U125" s="14">
        <f t="shared" si="2"/>
        <v>5.743</v>
      </c>
      <c r="V125" s="14">
        <f t="shared" si="3"/>
        <v>1.49805035</v>
      </c>
      <c r="W125" s="15" t="str">
        <f t="shared" si="4"/>
        <v/>
      </c>
      <c r="X125" s="11">
        <f t="shared" si="5"/>
        <v>1380.138</v>
      </c>
      <c r="Y125" s="14">
        <f t="shared" si="6"/>
        <v>-1.191</v>
      </c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</row>
    <row r="126">
      <c r="A126" s="7"/>
      <c r="B126" s="7"/>
      <c r="C126" s="7"/>
      <c r="D126" s="7"/>
      <c r="E126" s="7"/>
      <c r="F126" s="7" t="s">
        <v>22</v>
      </c>
      <c r="G126" s="8">
        <v>806.0</v>
      </c>
      <c r="H126" s="9">
        <v>39.1836888889</v>
      </c>
      <c r="I126" s="9">
        <v>-112.968109444</v>
      </c>
      <c r="J126" s="10">
        <v>1396.97</v>
      </c>
      <c r="K126" s="11">
        <v>-5131.366</v>
      </c>
      <c r="L126" s="11">
        <v>-12571.753</v>
      </c>
      <c r="M126" s="11">
        <v>12.442</v>
      </c>
      <c r="N126" s="11">
        <v>-5131.362</v>
      </c>
      <c r="O126" s="11">
        <v>-12571.743</v>
      </c>
      <c r="P126" s="11">
        <v>7.183</v>
      </c>
      <c r="Q126" s="11">
        <v>1410.81</v>
      </c>
      <c r="R126" s="11">
        <v>-20.101</v>
      </c>
      <c r="S126" s="12">
        <v>0.89</v>
      </c>
      <c r="T126" s="13">
        <f t="shared" si="1"/>
        <v>1391.599</v>
      </c>
      <c r="U126" s="14">
        <f t="shared" si="2"/>
        <v>5.371</v>
      </c>
      <c r="V126" s="14">
        <f t="shared" si="3"/>
        <v>1.030145455</v>
      </c>
      <c r="W126" s="15" t="str">
        <f t="shared" si="4"/>
        <v/>
      </c>
      <c r="X126" s="11">
        <f t="shared" si="5"/>
        <v>1392.418</v>
      </c>
      <c r="Y126" s="14">
        <f t="shared" si="6"/>
        <v>-0.819</v>
      </c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</row>
    <row r="127">
      <c r="A127" s="7"/>
      <c r="B127" s="7"/>
      <c r="C127" s="7"/>
      <c r="D127" s="7"/>
      <c r="E127" s="7"/>
      <c r="F127" s="7" t="s">
        <v>22</v>
      </c>
      <c r="G127" s="8">
        <v>807.0</v>
      </c>
      <c r="H127" s="9">
        <v>39.1949186111</v>
      </c>
      <c r="I127" s="9">
        <v>-112.967864167</v>
      </c>
      <c r="J127" s="10">
        <v>1386.69</v>
      </c>
      <c r="K127" s="11">
        <v>-5109.372</v>
      </c>
      <c r="L127" s="11">
        <v>-11324.733</v>
      </c>
      <c r="M127" s="11">
        <v>4.522</v>
      </c>
      <c r="N127" s="11">
        <v>-5109.367</v>
      </c>
      <c r="O127" s="11">
        <v>-11324.722</v>
      </c>
      <c r="P127" s="11">
        <v>-1.368</v>
      </c>
      <c r="Q127" s="11">
        <v>1399.89</v>
      </c>
      <c r="R127" s="11">
        <v>-20.087</v>
      </c>
      <c r="S127" s="12">
        <v>0.89</v>
      </c>
      <c r="T127" s="13">
        <f t="shared" si="1"/>
        <v>1380.693</v>
      </c>
      <c r="U127" s="14">
        <f t="shared" si="2"/>
        <v>5.997</v>
      </c>
      <c r="V127" s="14">
        <f t="shared" si="3"/>
        <v>1.8175338</v>
      </c>
      <c r="W127" s="15" t="str">
        <f t="shared" si="4"/>
        <v/>
      </c>
      <c r="X127" s="11">
        <f t="shared" si="5"/>
        <v>1382.138</v>
      </c>
      <c r="Y127" s="14">
        <f t="shared" si="6"/>
        <v>-1.445</v>
      </c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</row>
    <row r="128">
      <c r="A128" s="7"/>
      <c r="B128" s="7"/>
      <c r="C128" s="7"/>
      <c r="D128" s="7"/>
      <c r="E128" s="7"/>
      <c r="F128" s="7" t="s">
        <v>22</v>
      </c>
      <c r="G128" s="8">
        <v>808.0</v>
      </c>
      <c r="H128" s="9">
        <v>39.2057230556</v>
      </c>
      <c r="I128" s="9">
        <v>-112.967811667</v>
      </c>
      <c r="J128" s="10">
        <v>1387.08</v>
      </c>
      <c r="K128" s="11">
        <v>-5104.097</v>
      </c>
      <c r="L128" s="11">
        <v>-10125.024</v>
      </c>
      <c r="M128" s="11">
        <v>6.938</v>
      </c>
      <c r="N128" s="11">
        <v>-5104.093</v>
      </c>
      <c r="O128" s="11">
        <v>-10125.017</v>
      </c>
      <c r="P128" s="11">
        <v>2.108</v>
      </c>
      <c r="Q128" s="11">
        <v>1401.32</v>
      </c>
      <c r="R128" s="11">
        <v>-20.074</v>
      </c>
      <c r="S128" s="12">
        <v>0.89</v>
      </c>
      <c r="T128" s="13">
        <f t="shared" si="1"/>
        <v>1382.136</v>
      </c>
      <c r="U128" s="14">
        <f t="shared" si="2"/>
        <v>4.944</v>
      </c>
      <c r="V128" s="14">
        <f t="shared" si="3"/>
        <v>0.4930610723</v>
      </c>
      <c r="W128" s="15" t="str">
        <f t="shared" si="4"/>
        <v/>
      </c>
      <c r="X128" s="11">
        <f t="shared" si="5"/>
        <v>1382.528</v>
      </c>
      <c r="Y128" s="14">
        <f t="shared" si="6"/>
        <v>-0.392</v>
      </c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</row>
    <row r="129">
      <c r="A129" s="7"/>
      <c r="B129" s="7"/>
      <c r="C129" s="7"/>
      <c r="D129" s="7"/>
      <c r="E129" s="7"/>
      <c r="F129" s="7" t="s">
        <v>22</v>
      </c>
      <c r="G129" s="8">
        <v>809.0</v>
      </c>
      <c r="H129" s="9">
        <v>39.2165483333</v>
      </c>
      <c r="I129" s="9">
        <v>-112.967816667</v>
      </c>
      <c r="J129" s="10">
        <v>1388.86</v>
      </c>
      <c r="K129" s="11">
        <v>-5103.747</v>
      </c>
      <c r="L129" s="11">
        <v>-8922.98</v>
      </c>
      <c r="M129" s="11">
        <v>10.518</v>
      </c>
      <c r="N129" s="11">
        <v>-5103.742</v>
      </c>
      <c r="O129" s="11">
        <v>-8922.973</v>
      </c>
      <c r="P129" s="11">
        <v>5.358</v>
      </c>
      <c r="Q129" s="11">
        <v>1402.76</v>
      </c>
      <c r="R129" s="11">
        <v>-20.059</v>
      </c>
      <c r="S129" s="12">
        <v>0.89</v>
      </c>
      <c r="T129" s="13">
        <f t="shared" si="1"/>
        <v>1383.591</v>
      </c>
      <c r="U129" s="14">
        <f t="shared" si="2"/>
        <v>5.269</v>
      </c>
      <c r="V129" s="14">
        <f t="shared" si="3"/>
        <v>0.901848951</v>
      </c>
      <c r="W129" s="15" t="str">
        <f t="shared" si="4"/>
        <v/>
      </c>
      <c r="X129" s="11">
        <f t="shared" si="5"/>
        <v>1384.308</v>
      </c>
      <c r="Y129" s="14">
        <f t="shared" si="6"/>
        <v>-0.717</v>
      </c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</row>
    <row r="130">
      <c r="A130" s="7"/>
      <c r="B130" s="7"/>
      <c r="C130" s="7"/>
      <c r="D130" s="7"/>
      <c r="E130" s="7"/>
      <c r="F130" s="7" t="s">
        <v>22</v>
      </c>
      <c r="G130" s="8">
        <v>810.0</v>
      </c>
      <c r="H130" s="9">
        <v>39.2273236111</v>
      </c>
      <c r="I130" s="9">
        <v>-112.967881667</v>
      </c>
      <c r="J130" s="10">
        <v>1393.6</v>
      </c>
      <c r="K130" s="11">
        <v>-5108.584</v>
      </c>
      <c r="L130" s="11">
        <v>-7726.373</v>
      </c>
      <c r="M130" s="11">
        <v>16.82</v>
      </c>
      <c r="N130" s="11">
        <v>-5108.58</v>
      </c>
      <c r="O130" s="11">
        <v>-7726.368</v>
      </c>
      <c r="P130" s="11">
        <v>12.24</v>
      </c>
      <c r="Q130" s="11">
        <v>1408.06</v>
      </c>
      <c r="R130" s="11">
        <v>-20.045</v>
      </c>
      <c r="S130" s="12">
        <v>0.89</v>
      </c>
      <c r="T130" s="13">
        <f t="shared" si="1"/>
        <v>1388.905</v>
      </c>
      <c r="U130" s="14">
        <f t="shared" si="2"/>
        <v>4.695</v>
      </c>
      <c r="V130" s="14">
        <f t="shared" si="3"/>
        <v>0.1798666667</v>
      </c>
      <c r="W130" s="15" t="str">
        <f t="shared" si="4"/>
        <v/>
      </c>
      <c r="X130" s="11">
        <f t="shared" si="5"/>
        <v>1389.048</v>
      </c>
      <c r="Y130" s="14">
        <f t="shared" si="6"/>
        <v>-0.143</v>
      </c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</row>
    <row r="131">
      <c r="A131" s="7"/>
      <c r="B131" s="7"/>
      <c r="C131" s="7"/>
      <c r="D131" s="7"/>
      <c r="E131" s="7"/>
      <c r="F131" s="7" t="s">
        <v>22</v>
      </c>
      <c r="G131" s="8">
        <v>811.0</v>
      </c>
      <c r="H131" s="9">
        <v>39.238335</v>
      </c>
      <c r="I131" s="9">
        <v>-112.9677775</v>
      </c>
      <c r="J131" s="10">
        <v>1393.74</v>
      </c>
      <c r="K131" s="11">
        <v>-5098.805</v>
      </c>
      <c r="L131" s="11">
        <v>-6503.672</v>
      </c>
      <c r="M131" s="11">
        <v>18.335</v>
      </c>
      <c r="N131" s="11">
        <v>-5098.801</v>
      </c>
      <c r="O131" s="11">
        <v>-6503.667</v>
      </c>
      <c r="P131" s="11">
        <v>13.395</v>
      </c>
      <c r="Q131" s="11">
        <v>1407.83</v>
      </c>
      <c r="R131" s="11">
        <v>-20.03</v>
      </c>
      <c r="S131" s="12">
        <v>0.89</v>
      </c>
      <c r="T131" s="13">
        <f t="shared" si="1"/>
        <v>1388.69</v>
      </c>
      <c r="U131" s="14">
        <f t="shared" si="2"/>
        <v>5.05</v>
      </c>
      <c r="V131" s="14">
        <f t="shared" si="3"/>
        <v>0.6263888112</v>
      </c>
      <c r="W131" s="15" t="str">
        <f t="shared" si="4"/>
        <v/>
      </c>
      <c r="X131" s="11">
        <f t="shared" si="5"/>
        <v>1389.188</v>
      </c>
      <c r="Y131" s="14">
        <f t="shared" si="6"/>
        <v>-0.498</v>
      </c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</row>
    <row r="132">
      <c r="A132" s="7"/>
      <c r="B132" s="7"/>
      <c r="C132" s="7"/>
      <c r="D132" s="7"/>
      <c r="E132" s="7"/>
      <c r="F132" s="7" t="s">
        <v>22</v>
      </c>
      <c r="G132" s="8">
        <v>812.0</v>
      </c>
      <c r="H132" s="9">
        <v>39.2490691667</v>
      </c>
      <c r="I132" s="9">
        <v>-112.967744167</v>
      </c>
      <c r="J132" s="10">
        <v>1393.37</v>
      </c>
      <c r="K132" s="11">
        <v>-5095.092</v>
      </c>
      <c r="L132" s="11">
        <v>-5311.723</v>
      </c>
      <c r="M132" s="11">
        <v>19.075</v>
      </c>
      <c r="N132" s="11">
        <v>-5095.088</v>
      </c>
      <c r="O132" s="11">
        <v>-5311.719</v>
      </c>
      <c r="P132" s="11">
        <v>14.095</v>
      </c>
      <c r="Q132" s="11">
        <v>1407.41</v>
      </c>
      <c r="R132" s="11">
        <v>-20.016</v>
      </c>
      <c r="S132" s="12">
        <v>0.89</v>
      </c>
      <c r="T132" s="13">
        <f t="shared" si="1"/>
        <v>1388.284</v>
      </c>
      <c r="U132" s="14">
        <f t="shared" si="2"/>
        <v>5.086</v>
      </c>
      <c r="V132" s="14">
        <f t="shared" si="3"/>
        <v>0.6716699301</v>
      </c>
      <c r="W132" s="15" t="str">
        <f t="shared" si="4"/>
        <v/>
      </c>
      <c r="X132" s="11">
        <f t="shared" si="5"/>
        <v>1388.818</v>
      </c>
      <c r="Y132" s="14">
        <f t="shared" si="6"/>
        <v>-0.534</v>
      </c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</row>
    <row r="133">
      <c r="A133" s="7"/>
      <c r="B133" s="7"/>
      <c r="C133" s="7"/>
      <c r="D133" s="7"/>
      <c r="E133" s="7"/>
      <c r="F133" s="7" t="s">
        <v>22</v>
      </c>
      <c r="G133" s="8">
        <v>813.0</v>
      </c>
      <c r="H133" s="9">
        <v>39.2597863889</v>
      </c>
      <c r="I133" s="9">
        <v>-112.967820278</v>
      </c>
      <c r="J133" s="10">
        <v>1395.57</v>
      </c>
      <c r="K133" s="11">
        <v>-5100.879</v>
      </c>
      <c r="L133" s="11">
        <v>-4121.656</v>
      </c>
      <c r="M133" s="11">
        <v>22.152</v>
      </c>
      <c r="N133" s="11">
        <v>-5100.876</v>
      </c>
      <c r="O133" s="11">
        <v>-4121.653</v>
      </c>
      <c r="P133" s="11">
        <v>17.942</v>
      </c>
      <c r="Q133" s="11">
        <v>1410.36</v>
      </c>
      <c r="R133" s="11">
        <v>-20.001</v>
      </c>
      <c r="S133" s="12">
        <v>0.89</v>
      </c>
      <c r="T133" s="13">
        <f t="shared" si="1"/>
        <v>1391.249</v>
      </c>
      <c r="U133" s="14">
        <f t="shared" si="2"/>
        <v>4.321</v>
      </c>
      <c r="V133" s="14">
        <f t="shared" si="3"/>
        <v>-0.2905538462</v>
      </c>
      <c r="W133" s="15" t="str">
        <f t="shared" si="4"/>
        <v/>
      </c>
      <c r="X133" s="11">
        <f t="shared" si="5"/>
        <v>1391.018</v>
      </c>
      <c r="Y133" s="14">
        <f t="shared" si="6"/>
        <v>0.231</v>
      </c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</row>
    <row r="134">
      <c r="A134" s="7"/>
      <c r="B134" s="7"/>
      <c r="C134" s="7"/>
      <c r="D134" s="7"/>
      <c r="E134" s="7"/>
      <c r="F134" s="7" t="s">
        <v>22</v>
      </c>
      <c r="G134" s="8">
        <v>814.0</v>
      </c>
      <c r="H134" s="9">
        <v>39.270675</v>
      </c>
      <c r="I134" s="9">
        <v>-112.967835278</v>
      </c>
      <c r="J134" s="10">
        <v>1403.9</v>
      </c>
      <c r="K134" s="11">
        <v>-5101.391</v>
      </c>
      <c r="L134" s="11">
        <v>-2912.491</v>
      </c>
      <c r="M134" s="11">
        <v>31.15</v>
      </c>
      <c r="N134" s="11">
        <v>-5101.387</v>
      </c>
      <c r="O134" s="11">
        <v>-2912.489</v>
      </c>
      <c r="P134" s="11">
        <v>26.41</v>
      </c>
      <c r="Q134" s="11">
        <v>1418.14</v>
      </c>
      <c r="R134" s="11">
        <v>-19.985</v>
      </c>
      <c r="S134" s="12">
        <v>0.89</v>
      </c>
      <c r="T134" s="13">
        <f t="shared" si="1"/>
        <v>1399.045</v>
      </c>
      <c r="U134" s="14">
        <f t="shared" si="2"/>
        <v>4.855</v>
      </c>
      <c r="V134" s="14">
        <f t="shared" si="3"/>
        <v>0.3811160839</v>
      </c>
      <c r="W134" s="15" t="str">
        <f t="shared" si="4"/>
        <v/>
      </c>
      <c r="X134" s="11">
        <f t="shared" si="5"/>
        <v>1399.348</v>
      </c>
      <c r="Y134" s="14">
        <f t="shared" si="6"/>
        <v>-0.303</v>
      </c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</row>
    <row r="135">
      <c r="A135" s="7"/>
      <c r="B135" s="7"/>
      <c r="C135" s="7"/>
      <c r="D135" s="7"/>
      <c r="E135" s="7"/>
      <c r="F135" s="7" t="s">
        <v>22</v>
      </c>
      <c r="G135" s="8">
        <v>815.0</v>
      </c>
      <c r="H135" s="9">
        <v>39.2814402778</v>
      </c>
      <c r="I135" s="9">
        <v>-112.967751111</v>
      </c>
      <c r="J135" s="10">
        <v>1403.03</v>
      </c>
      <c r="K135" s="11">
        <v>-5093.361</v>
      </c>
      <c r="L135" s="11">
        <v>-1717.094</v>
      </c>
      <c r="M135" s="11">
        <v>30.722</v>
      </c>
      <c r="N135" s="11">
        <v>-5093.357</v>
      </c>
      <c r="O135" s="11">
        <v>-1717.092</v>
      </c>
      <c r="P135" s="11">
        <v>26.562</v>
      </c>
      <c r="Q135" s="11">
        <v>1417.84</v>
      </c>
      <c r="R135" s="11">
        <v>-19.969</v>
      </c>
      <c r="S135" s="12">
        <v>0.89</v>
      </c>
      <c r="T135" s="13">
        <f t="shared" si="1"/>
        <v>1398.761</v>
      </c>
      <c r="U135" s="14">
        <f t="shared" si="2"/>
        <v>4.269</v>
      </c>
      <c r="V135" s="14">
        <f t="shared" si="3"/>
        <v>-0.3559599068</v>
      </c>
      <c r="W135" s="15" t="str">
        <f t="shared" si="4"/>
        <v/>
      </c>
      <c r="X135" s="11">
        <f t="shared" si="5"/>
        <v>1398.478</v>
      </c>
      <c r="Y135" s="14">
        <f t="shared" si="6"/>
        <v>0.283</v>
      </c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</row>
    <row r="136">
      <c r="A136" s="7"/>
      <c r="B136" s="7"/>
      <c r="C136" s="7"/>
      <c r="D136" s="7"/>
      <c r="E136" s="7"/>
      <c r="F136" s="7" t="s">
        <v>22</v>
      </c>
      <c r="G136" s="8">
        <v>816.0</v>
      </c>
      <c r="H136" s="9">
        <v>39.2922663889</v>
      </c>
      <c r="I136" s="9">
        <v>-112.967739167</v>
      </c>
      <c r="J136" s="10">
        <v>1405.8</v>
      </c>
      <c r="K136" s="11">
        <v>-5091.543</v>
      </c>
      <c r="L136" s="11">
        <v>-514.917</v>
      </c>
      <c r="M136" s="11">
        <v>33.704</v>
      </c>
      <c r="N136" s="11">
        <v>-5091.54</v>
      </c>
      <c r="O136" s="11">
        <v>-514.916</v>
      </c>
      <c r="P136" s="11">
        <v>29.784</v>
      </c>
      <c r="Q136" s="11">
        <v>1420.83</v>
      </c>
      <c r="R136" s="11">
        <v>-19.952</v>
      </c>
      <c r="S136" s="12">
        <v>0.89</v>
      </c>
      <c r="T136" s="13">
        <f t="shared" si="1"/>
        <v>1401.768</v>
      </c>
      <c r="U136" s="14">
        <f t="shared" si="2"/>
        <v>4.032</v>
      </c>
      <c r="V136" s="14">
        <f t="shared" si="3"/>
        <v>-0.6540606061</v>
      </c>
      <c r="W136" s="15" t="str">
        <f t="shared" si="4"/>
        <v/>
      </c>
      <c r="X136" s="11">
        <f t="shared" si="5"/>
        <v>1401.248</v>
      </c>
      <c r="Y136" s="14">
        <f t="shared" si="6"/>
        <v>0.52</v>
      </c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</row>
    <row r="137">
      <c r="A137" s="7"/>
      <c r="B137" s="7"/>
      <c r="C137" s="7"/>
      <c r="D137" s="7"/>
      <c r="E137" s="7"/>
      <c r="F137" s="7" t="s">
        <v>22</v>
      </c>
      <c r="G137" s="8">
        <v>817.0</v>
      </c>
      <c r="H137" s="9">
        <v>39.3031075</v>
      </c>
      <c r="I137" s="9">
        <v>-112.967770278</v>
      </c>
      <c r="J137" s="10">
        <v>1406.1</v>
      </c>
      <c r="K137" s="11">
        <v>-5093.433</v>
      </c>
      <c r="L137" s="11">
        <v>689.042</v>
      </c>
      <c r="M137" s="11">
        <v>33.986</v>
      </c>
      <c r="N137" s="11">
        <v>-5093.429</v>
      </c>
      <c r="O137" s="11">
        <v>689.042</v>
      </c>
      <c r="P137" s="11">
        <v>29.596</v>
      </c>
      <c r="Q137" s="11">
        <v>1420.65</v>
      </c>
      <c r="R137" s="11">
        <v>-19.936</v>
      </c>
      <c r="S137" s="12">
        <v>0.89</v>
      </c>
      <c r="T137" s="13">
        <f t="shared" si="1"/>
        <v>1401.604</v>
      </c>
      <c r="U137" s="14">
        <f t="shared" si="2"/>
        <v>4.496</v>
      </c>
      <c r="V137" s="14">
        <f t="shared" si="3"/>
        <v>-0.07043729604</v>
      </c>
      <c r="W137" s="15" t="str">
        <f t="shared" si="4"/>
        <v/>
      </c>
      <c r="X137" s="11">
        <f t="shared" si="5"/>
        <v>1401.548</v>
      </c>
      <c r="Y137" s="14">
        <f t="shared" si="6"/>
        <v>0.056</v>
      </c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</row>
    <row r="138">
      <c r="A138" s="7"/>
      <c r="B138" s="7"/>
      <c r="C138" s="7"/>
      <c r="D138" s="7"/>
      <c r="E138" s="7"/>
      <c r="F138" s="7" t="s">
        <v>22</v>
      </c>
      <c r="G138" s="8">
        <v>818.0</v>
      </c>
      <c r="H138" s="9">
        <v>39.3138861111</v>
      </c>
      <c r="I138" s="9">
        <v>-112.967716111</v>
      </c>
      <c r="J138" s="10">
        <v>1406.04</v>
      </c>
      <c r="K138" s="11">
        <v>-5087.993</v>
      </c>
      <c r="L138" s="11">
        <v>1885.892</v>
      </c>
      <c r="M138" s="11">
        <v>33.688</v>
      </c>
      <c r="N138" s="11">
        <v>-5087.99</v>
      </c>
      <c r="O138" s="11">
        <v>1885.891</v>
      </c>
      <c r="P138" s="11">
        <v>29.388</v>
      </c>
      <c r="Q138" s="11">
        <v>1420.66</v>
      </c>
      <c r="R138" s="11">
        <v>-19.917</v>
      </c>
      <c r="S138" s="12">
        <v>0.89</v>
      </c>
      <c r="T138" s="13">
        <f t="shared" si="1"/>
        <v>1401.633</v>
      </c>
      <c r="U138" s="14">
        <f t="shared" si="2"/>
        <v>4.407</v>
      </c>
      <c r="V138" s="14">
        <f t="shared" si="3"/>
        <v>-0.1823822844</v>
      </c>
      <c r="W138" s="15" t="str">
        <f t="shared" si="4"/>
        <v/>
      </c>
      <c r="X138" s="11">
        <f t="shared" si="5"/>
        <v>1401.488</v>
      </c>
      <c r="Y138" s="14">
        <f t="shared" si="6"/>
        <v>0.145</v>
      </c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</row>
    <row r="139">
      <c r="A139" s="7"/>
      <c r="B139" s="7"/>
      <c r="C139" s="7"/>
      <c r="D139" s="7"/>
      <c r="E139" s="7"/>
      <c r="F139" s="7" t="s">
        <v>22</v>
      </c>
      <c r="G139" s="8">
        <v>819.0</v>
      </c>
      <c r="H139" s="9">
        <v>39.3246716667</v>
      </c>
      <c r="I139" s="9">
        <v>-112.967723611</v>
      </c>
      <c r="J139" s="10">
        <v>1415.15</v>
      </c>
      <c r="K139" s="11">
        <v>-5087.909</v>
      </c>
      <c r="L139" s="11">
        <v>3083.64</v>
      </c>
      <c r="M139" s="11">
        <v>42.331</v>
      </c>
      <c r="N139" s="11">
        <v>-5087.906</v>
      </c>
      <c r="O139" s="11">
        <v>3083.638</v>
      </c>
      <c r="P139" s="11">
        <v>38.551</v>
      </c>
      <c r="Q139" s="11">
        <v>1430.27</v>
      </c>
      <c r="R139" s="11">
        <v>-19.896</v>
      </c>
      <c r="S139" s="12">
        <v>0.89</v>
      </c>
      <c r="T139" s="13">
        <f t="shared" si="1"/>
        <v>1411.264</v>
      </c>
      <c r="U139" s="14">
        <f t="shared" si="2"/>
        <v>3.886</v>
      </c>
      <c r="V139" s="14">
        <f t="shared" si="3"/>
        <v>-0.8377006993</v>
      </c>
      <c r="W139" s="15" t="str">
        <f t="shared" si="4"/>
        <v/>
      </c>
      <c r="X139" s="11">
        <f t="shared" si="5"/>
        <v>1410.598</v>
      </c>
      <c r="Y139" s="14">
        <f t="shared" si="6"/>
        <v>0.666</v>
      </c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</row>
    <row r="140">
      <c r="A140" s="7"/>
      <c r="B140" s="7"/>
      <c r="C140" s="7"/>
      <c r="D140" s="7"/>
      <c r="E140" s="7"/>
      <c r="F140" s="7" t="s">
        <v>22</v>
      </c>
      <c r="G140" s="8">
        <v>820.0</v>
      </c>
      <c r="H140" s="9">
        <v>39.3354938889</v>
      </c>
      <c r="I140" s="9">
        <v>-112.967739444</v>
      </c>
      <c r="J140" s="10">
        <v>1423.13</v>
      </c>
      <c r="K140" s="11">
        <v>-5088.425</v>
      </c>
      <c r="L140" s="11">
        <v>4285.391</v>
      </c>
      <c r="M140" s="11">
        <v>49.614</v>
      </c>
      <c r="N140" s="11">
        <v>-5088.421</v>
      </c>
      <c r="O140" s="11">
        <v>4285.387</v>
      </c>
      <c r="P140" s="11">
        <v>44.054</v>
      </c>
      <c r="Q140" s="11">
        <v>1436.44</v>
      </c>
      <c r="R140" s="11">
        <v>-19.871</v>
      </c>
      <c r="S140" s="12">
        <v>0.89</v>
      </c>
      <c r="T140" s="13">
        <f t="shared" si="1"/>
        <v>1417.459</v>
      </c>
      <c r="U140" s="14">
        <f t="shared" si="2"/>
        <v>5.671</v>
      </c>
      <c r="V140" s="14">
        <f t="shared" si="3"/>
        <v>1.407488112</v>
      </c>
      <c r="W140" s="15" t="str">
        <f t="shared" si="4"/>
        <v/>
      </c>
      <c r="X140" s="11">
        <f t="shared" si="5"/>
        <v>1418.578</v>
      </c>
      <c r="Y140" s="14">
        <f t="shared" si="6"/>
        <v>-1.119</v>
      </c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</row>
    <row r="141">
      <c r="A141" s="7"/>
      <c r="B141" s="7"/>
      <c r="C141" s="7"/>
      <c r="D141" s="7"/>
      <c r="E141" s="7"/>
      <c r="F141" s="7" t="s">
        <v>22</v>
      </c>
      <c r="G141" s="8">
        <v>821.0</v>
      </c>
      <c r="H141" s="9">
        <v>39.3462375</v>
      </c>
      <c r="I141" s="9">
        <v>-112.967663889</v>
      </c>
      <c r="J141" s="10">
        <v>1434.15</v>
      </c>
      <c r="K141" s="11">
        <v>-5081.188</v>
      </c>
      <c r="L141" s="11">
        <v>5478.482</v>
      </c>
      <c r="M141" s="11">
        <v>59.725</v>
      </c>
      <c r="N141" s="11">
        <v>-5081.185</v>
      </c>
      <c r="O141" s="11">
        <v>5478.479</v>
      </c>
      <c r="P141" s="11">
        <v>55.925</v>
      </c>
      <c r="Q141" s="11">
        <v>1449.19</v>
      </c>
      <c r="R141" s="11">
        <v>-19.844</v>
      </c>
      <c r="S141" s="12">
        <v>0.89</v>
      </c>
      <c r="T141" s="13">
        <f t="shared" si="1"/>
        <v>1430.236</v>
      </c>
      <c r="U141" s="14">
        <f t="shared" si="2"/>
        <v>3.914</v>
      </c>
      <c r="V141" s="14">
        <f t="shared" si="3"/>
        <v>-0.8024820513</v>
      </c>
      <c r="W141" s="15" t="str">
        <f t="shared" si="4"/>
        <v/>
      </c>
      <c r="X141" s="11">
        <f t="shared" si="5"/>
        <v>1429.598</v>
      </c>
      <c r="Y141" s="14">
        <f t="shared" si="6"/>
        <v>0.638</v>
      </c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</row>
    <row r="142">
      <c r="A142" s="7"/>
      <c r="B142" s="7"/>
      <c r="C142" s="7"/>
      <c r="D142" s="7"/>
      <c r="E142" s="7"/>
      <c r="F142" s="7" t="s">
        <v>22</v>
      </c>
      <c r="G142" s="8">
        <v>822.0</v>
      </c>
      <c r="H142" s="9">
        <v>39.3570977778</v>
      </c>
      <c r="I142" s="9">
        <v>-112.967689167</v>
      </c>
      <c r="J142" s="10">
        <v>1459.83</v>
      </c>
      <c r="K142" s="11">
        <v>-5082.577</v>
      </c>
      <c r="L142" s="11">
        <v>6684.483</v>
      </c>
      <c r="M142" s="11">
        <v>84.251</v>
      </c>
      <c r="N142" s="11">
        <v>-5082.574</v>
      </c>
      <c r="O142" s="11">
        <v>6684.478</v>
      </c>
      <c r="P142" s="11">
        <v>79.961</v>
      </c>
      <c r="Q142" s="11">
        <v>1474.35</v>
      </c>
      <c r="R142" s="11">
        <v>-19.812</v>
      </c>
      <c r="S142" s="12">
        <v>0.89</v>
      </c>
      <c r="T142" s="13">
        <f t="shared" si="1"/>
        <v>1455.428</v>
      </c>
      <c r="U142" s="14">
        <f t="shared" si="2"/>
        <v>4.402</v>
      </c>
      <c r="V142" s="14">
        <f t="shared" si="3"/>
        <v>-0.1886713287</v>
      </c>
      <c r="W142" s="15" t="str">
        <f t="shared" si="4"/>
        <v/>
      </c>
      <c r="X142" s="11">
        <f t="shared" si="5"/>
        <v>1455.278</v>
      </c>
      <c r="Y142" s="14">
        <f t="shared" si="6"/>
        <v>0.15</v>
      </c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</row>
    <row r="143">
      <c r="A143" s="7"/>
      <c r="B143" s="7"/>
      <c r="C143" s="7"/>
      <c r="D143" s="7"/>
      <c r="E143" s="7"/>
      <c r="F143" s="7" t="s">
        <v>22</v>
      </c>
      <c r="G143" s="8">
        <v>823.0</v>
      </c>
      <c r="H143" s="9">
        <v>39.3678186111</v>
      </c>
      <c r="I143" s="9">
        <v>-112.967416667</v>
      </c>
      <c r="J143" s="10">
        <v>1494.2</v>
      </c>
      <c r="K143" s="11">
        <v>-5058.382</v>
      </c>
      <c r="L143" s="11">
        <v>7875.054</v>
      </c>
      <c r="M143" s="11">
        <v>117.278</v>
      </c>
      <c r="N143" s="11">
        <v>-5058.379</v>
      </c>
      <c r="O143" s="11">
        <v>7875.049</v>
      </c>
      <c r="P143" s="11">
        <v>113.308</v>
      </c>
      <c r="Q143" s="11">
        <v>1509.01</v>
      </c>
      <c r="R143" s="11">
        <v>-19.777</v>
      </c>
      <c r="S143" s="12">
        <v>0.89</v>
      </c>
      <c r="T143" s="13">
        <f t="shared" si="1"/>
        <v>1490.123</v>
      </c>
      <c r="U143" s="14">
        <f t="shared" si="2"/>
        <v>4.077</v>
      </c>
      <c r="V143" s="14">
        <f t="shared" si="3"/>
        <v>-0.5974592075</v>
      </c>
      <c r="W143" s="15" t="str">
        <f t="shared" si="4"/>
        <v/>
      </c>
      <c r="X143" s="11">
        <f t="shared" si="5"/>
        <v>1489.648</v>
      </c>
      <c r="Y143" s="14">
        <f t="shared" si="6"/>
        <v>0.475</v>
      </c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</row>
    <row r="144">
      <c r="A144" s="7"/>
      <c r="B144" s="7"/>
      <c r="C144" s="7"/>
      <c r="D144" s="7"/>
      <c r="E144" s="7"/>
      <c r="F144" s="7" t="s">
        <v>31</v>
      </c>
      <c r="G144" s="8">
        <v>827.0</v>
      </c>
      <c r="H144" s="9">
        <v>39.41045388888889</v>
      </c>
      <c r="I144" s="9">
        <v>-112.96157833333334</v>
      </c>
      <c r="J144" s="13">
        <v>1510.01</v>
      </c>
      <c r="K144" s="10">
        <v>-4552.323</v>
      </c>
      <c r="L144" s="10">
        <v>12609.342</v>
      </c>
      <c r="M144" s="10">
        <v>125.847</v>
      </c>
      <c r="N144" s="10">
        <v>-4552.321</v>
      </c>
      <c r="O144" s="10">
        <v>12609.336</v>
      </c>
      <c r="P144" s="10">
        <v>123.157</v>
      </c>
      <c r="Q144" s="13">
        <v>1525.98</v>
      </c>
      <c r="R144" s="13">
        <v>-19.656</v>
      </c>
      <c r="S144" s="12">
        <v>0.89</v>
      </c>
      <c r="T144" s="13">
        <f t="shared" si="1"/>
        <v>1507.214</v>
      </c>
      <c r="U144" s="14">
        <f t="shared" si="2"/>
        <v>2.796</v>
      </c>
      <c r="V144" s="14">
        <f t="shared" si="3"/>
        <v>-2.208712354</v>
      </c>
      <c r="W144" s="15" t="str">
        <f t="shared" si="4"/>
        <v/>
      </c>
      <c r="X144" s="11">
        <f t="shared" si="5"/>
        <v>1505.458</v>
      </c>
      <c r="Y144" s="14">
        <f t="shared" si="6"/>
        <v>1.756</v>
      </c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</row>
    <row r="145">
      <c r="A145" s="7"/>
      <c r="B145" s="7"/>
      <c r="C145" s="7"/>
      <c r="D145" s="7"/>
      <c r="E145" s="7"/>
      <c r="F145" s="7" t="s">
        <v>31</v>
      </c>
      <c r="G145" s="8">
        <v>828.0</v>
      </c>
      <c r="H145" s="9">
        <v>39.421572222222224</v>
      </c>
      <c r="I145" s="9">
        <v>-112.96689416666666</v>
      </c>
      <c r="J145" s="13">
        <v>1518.34</v>
      </c>
      <c r="K145" s="10">
        <v>-5009.475</v>
      </c>
      <c r="L145" s="10">
        <v>13844.289</v>
      </c>
      <c r="M145" s="10">
        <v>131.268</v>
      </c>
      <c r="N145" s="10">
        <v>-5009.473</v>
      </c>
      <c r="O145" s="10">
        <v>13844.284</v>
      </c>
      <c r="P145" s="10">
        <v>128.918</v>
      </c>
      <c r="Q145" s="13">
        <v>1534.61</v>
      </c>
      <c r="R145" s="13">
        <v>-19.623</v>
      </c>
      <c r="S145" s="12">
        <v>0.89</v>
      </c>
      <c r="T145" s="13">
        <f t="shared" si="1"/>
        <v>1515.877</v>
      </c>
      <c r="U145" s="14">
        <f t="shared" si="2"/>
        <v>2.463</v>
      </c>
      <c r="V145" s="14">
        <f t="shared" si="3"/>
        <v>-2.627562704</v>
      </c>
      <c r="W145" s="15" t="str">
        <f t="shared" si="4"/>
        <v/>
      </c>
      <c r="X145" s="11">
        <f t="shared" si="5"/>
        <v>1513.788</v>
      </c>
      <c r="Y145" s="14">
        <f t="shared" si="6"/>
        <v>2.089</v>
      </c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</row>
    <row r="146">
      <c r="A146" s="7"/>
      <c r="B146" s="7"/>
      <c r="C146" s="7"/>
      <c r="D146" s="7"/>
      <c r="E146" s="7"/>
      <c r="F146" s="7" t="s">
        <v>22</v>
      </c>
      <c r="G146" s="8">
        <v>901.0</v>
      </c>
      <c r="H146" s="9">
        <v>39.1300102778</v>
      </c>
      <c r="I146" s="9">
        <v>-112.954043611</v>
      </c>
      <c r="J146" s="10">
        <v>1366.3</v>
      </c>
      <c r="K146" s="11">
        <v>-3918.815</v>
      </c>
      <c r="L146" s="11">
        <v>-18533.018</v>
      </c>
      <c r="M146" s="11">
        <v>-31.941</v>
      </c>
      <c r="N146" s="11">
        <v>-3918.812</v>
      </c>
      <c r="O146" s="11">
        <v>-18533.005</v>
      </c>
      <c r="P146" s="11">
        <v>-36.301</v>
      </c>
      <c r="Q146" s="11">
        <v>1381.07</v>
      </c>
      <c r="R146" s="11">
        <v>-20.133</v>
      </c>
      <c r="S146" s="12">
        <v>0.89</v>
      </c>
      <c r="T146" s="13">
        <f t="shared" si="1"/>
        <v>1361.827</v>
      </c>
      <c r="U146" s="14">
        <f t="shared" si="2"/>
        <v>4.473</v>
      </c>
      <c r="V146" s="14">
        <f t="shared" si="3"/>
        <v>-0.09936689977</v>
      </c>
      <c r="W146" s="15" t="str">
        <f t="shared" si="4"/>
        <v/>
      </c>
      <c r="X146" s="11">
        <f t="shared" si="5"/>
        <v>1361.748</v>
      </c>
      <c r="Y146" s="14">
        <f t="shared" si="6"/>
        <v>0.079</v>
      </c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</row>
    <row r="147">
      <c r="A147" s="7"/>
      <c r="B147" s="7"/>
      <c r="C147" s="7"/>
      <c r="D147" s="7"/>
      <c r="E147" s="7"/>
      <c r="F147" s="7" t="s">
        <v>22</v>
      </c>
      <c r="G147" s="8">
        <v>902.0</v>
      </c>
      <c r="H147" s="9">
        <v>39.1408458333</v>
      </c>
      <c r="I147" s="9">
        <v>-112.954037778</v>
      </c>
      <c r="J147" s="10">
        <v>1371.93</v>
      </c>
      <c r="K147" s="11">
        <v>-3917.699</v>
      </c>
      <c r="L147" s="11">
        <v>-17329.788</v>
      </c>
      <c r="M147" s="11">
        <v>-22.919</v>
      </c>
      <c r="N147" s="11">
        <v>-3917.696</v>
      </c>
      <c r="O147" s="11">
        <v>-17329.775</v>
      </c>
      <c r="P147" s="11">
        <v>-27.699</v>
      </c>
      <c r="Q147" s="11">
        <v>1386.28</v>
      </c>
      <c r="R147" s="11">
        <v>-20.128</v>
      </c>
      <c r="S147" s="12">
        <v>0.89</v>
      </c>
      <c r="T147" s="13">
        <f t="shared" si="1"/>
        <v>1367.042</v>
      </c>
      <c r="U147" s="14">
        <f t="shared" si="2"/>
        <v>4.888</v>
      </c>
      <c r="V147" s="14">
        <f t="shared" si="3"/>
        <v>0.4226237762</v>
      </c>
      <c r="W147" s="15" t="str">
        <f t="shared" si="4"/>
        <v/>
      </c>
      <c r="X147" s="11">
        <f t="shared" si="5"/>
        <v>1367.378</v>
      </c>
      <c r="Y147" s="14">
        <f t="shared" si="6"/>
        <v>-0.336</v>
      </c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</row>
    <row r="148">
      <c r="A148" s="7"/>
      <c r="B148" s="7"/>
      <c r="C148" s="7"/>
      <c r="D148" s="7"/>
      <c r="E148" s="7"/>
      <c r="F148" s="7" t="s">
        <v>22</v>
      </c>
      <c r="G148" s="8">
        <v>903.0</v>
      </c>
      <c r="H148" s="9">
        <v>39.1516752778</v>
      </c>
      <c r="I148" s="9">
        <v>-112.954001667</v>
      </c>
      <c r="J148" s="10">
        <v>1373.09</v>
      </c>
      <c r="K148" s="11">
        <v>-3913.987</v>
      </c>
      <c r="L148" s="11">
        <v>-16127.321</v>
      </c>
      <c r="M148" s="11">
        <v>-18.595</v>
      </c>
      <c r="N148" s="11">
        <v>-3913.984</v>
      </c>
      <c r="O148" s="11">
        <v>-16127.309</v>
      </c>
      <c r="P148" s="11">
        <v>-23.145</v>
      </c>
      <c r="Q148" s="11">
        <v>1387.66</v>
      </c>
      <c r="R148" s="11">
        <v>-20.121</v>
      </c>
      <c r="S148" s="12">
        <v>0.89</v>
      </c>
      <c r="T148" s="13">
        <f t="shared" si="1"/>
        <v>1368.429</v>
      </c>
      <c r="U148" s="14">
        <f t="shared" si="2"/>
        <v>4.661</v>
      </c>
      <c r="V148" s="14">
        <f t="shared" si="3"/>
        <v>0.1371011655</v>
      </c>
      <c r="W148" s="15" t="str">
        <f t="shared" si="4"/>
        <v/>
      </c>
      <c r="X148" s="11">
        <f t="shared" si="5"/>
        <v>1368.538</v>
      </c>
      <c r="Y148" s="14">
        <f t="shared" si="6"/>
        <v>-0.109</v>
      </c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</row>
    <row r="149">
      <c r="A149" s="7"/>
      <c r="B149" s="7"/>
      <c r="C149" s="7"/>
      <c r="D149" s="7"/>
      <c r="E149" s="7"/>
      <c r="F149" s="7" t="s">
        <v>22</v>
      </c>
      <c r="G149" s="8">
        <v>904.0</v>
      </c>
      <c r="H149" s="9">
        <v>39.1629044444</v>
      </c>
      <c r="I149" s="9">
        <v>-112.950086667</v>
      </c>
      <c r="J149" s="10">
        <v>1374.11</v>
      </c>
      <c r="K149" s="11">
        <v>-3574.929</v>
      </c>
      <c r="L149" s="11">
        <v>-14880.593</v>
      </c>
      <c r="M149" s="11">
        <v>-14.338</v>
      </c>
      <c r="N149" s="11">
        <v>-3574.926</v>
      </c>
      <c r="O149" s="11">
        <v>-14880.582</v>
      </c>
      <c r="P149" s="11">
        <v>-19.418</v>
      </c>
      <c r="Q149" s="11">
        <v>1388.14</v>
      </c>
      <c r="R149" s="11">
        <v>-20.109</v>
      </c>
      <c r="S149" s="12">
        <v>0.89</v>
      </c>
      <c r="T149" s="13">
        <f t="shared" si="1"/>
        <v>1368.921</v>
      </c>
      <c r="U149" s="14">
        <f t="shared" si="2"/>
        <v>5.189</v>
      </c>
      <c r="V149" s="14">
        <f t="shared" si="3"/>
        <v>0.8012242424</v>
      </c>
      <c r="W149" s="15" t="str">
        <f t="shared" si="4"/>
        <v/>
      </c>
      <c r="X149" s="11">
        <f t="shared" si="5"/>
        <v>1369.558</v>
      </c>
      <c r="Y149" s="14">
        <f t="shared" si="6"/>
        <v>-0.637</v>
      </c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</row>
    <row r="150">
      <c r="A150" s="7"/>
      <c r="B150" s="7"/>
      <c r="C150" s="7"/>
      <c r="D150" s="7"/>
      <c r="E150" s="7"/>
      <c r="F150" s="7" t="s">
        <v>22</v>
      </c>
      <c r="G150" s="8">
        <v>905.0</v>
      </c>
      <c r="H150" s="9">
        <v>39.1727069444</v>
      </c>
      <c r="I150" s="9">
        <v>-112.954283611</v>
      </c>
      <c r="J150" s="10">
        <v>1380.86</v>
      </c>
      <c r="K150" s="11">
        <v>-3937.201</v>
      </c>
      <c r="L150" s="11">
        <v>-13791.885</v>
      </c>
      <c r="M150" s="11">
        <v>-5.348</v>
      </c>
      <c r="N150" s="11">
        <v>-3937.198</v>
      </c>
      <c r="O150" s="11">
        <v>-13791.876</v>
      </c>
      <c r="P150" s="11">
        <v>-9.638</v>
      </c>
      <c r="Q150" s="11">
        <v>1395.67</v>
      </c>
      <c r="R150" s="11">
        <v>-20.103</v>
      </c>
      <c r="S150" s="12">
        <v>0.89</v>
      </c>
      <c r="T150" s="13">
        <f t="shared" si="1"/>
        <v>1376.457</v>
      </c>
      <c r="U150" s="14">
        <f t="shared" si="2"/>
        <v>4.403</v>
      </c>
      <c r="V150" s="14">
        <f t="shared" si="3"/>
        <v>-0.1874135198</v>
      </c>
      <c r="W150" s="15" t="str">
        <f t="shared" si="4"/>
        <v/>
      </c>
      <c r="X150" s="11">
        <f t="shared" si="5"/>
        <v>1376.308</v>
      </c>
      <c r="Y150" s="14">
        <f t="shared" si="6"/>
        <v>0.149</v>
      </c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</row>
    <row r="151">
      <c r="A151" s="7"/>
      <c r="B151" s="7"/>
      <c r="C151" s="7"/>
      <c r="D151" s="7"/>
      <c r="E151" s="7"/>
      <c r="F151" s="7" t="s">
        <v>22</v>
      </c>
      <c r="G151" s="8">
        <v>906.0</v>
      </c>
      <c r="H151" s="9">
        <v>39.1841091667</v>
      </c>
      <c r="I151" s="9">
        <v>-112.953974722</v>
      </c>
      <c r="J151" s="10">
        <v>1379.37</v>
      </c>
      <c r="K151" s="11">
        <v>-3909.86</v>
      </c>
      <c r="L151" s="11">
        <v>-12525.787</v>
      </c>
      <c r="M151" s="11">
        <v>-4.202</v>
      </c>
      <c r="N151" s="11">
        <v>-3909.857</v>
      </c>
      <c r="O151" s="11">
        <v>-12525.777</v>
      </c>
      <c r="P151" s="11">
        <v>-8.942</v>
      </c>
      <c r="Q151" s="11">
        <v>1393.72</v>
      </c>
      <c r="R151" s="11">
        <v>-20.09</v>
      </c>
      <c r="S151" s="12">
        <v>0.89</v>
      </c>
      <c r="T151" s="13">
        <f t="shared" si="1"/>
        <v>1374.52</v>
      </c>
      <c r="U151" s="14">
        <f t="shared" si="2"/>
        <v>4.85</v>
      </c>
      <c r="V151" s="14">
        <f t="shared" si="3"/>
        <v>0.3748270396</v>
      </c>
      <c r="W151" s="15" t="str">
        <f t="shared" si="4"/>
        <v/>
      </c>
      <c r="X151" s="11">
        <f t="shared" si="5"/>
        <v>1374.818</v>
      </c>
      <c r="Y151" s="14">
        <f t="shared" si="6"/>
        <v>-0.298</v>
      </c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</row>
    <row r="152">
      <c r="A152" s="7"/>
      <c r="B152" s="7"/>
      <c r="C152" s="7"/>
      <c r="D152" s="7"/>
      <c r="E152" s="7"/>
      <c r="F152" s="7" t="s">
        <v>22</v>
      </c>
      <c r="G152" s="8">
        <v>907.0</v>
      </c>
      <c r="H152" s="9">
        <v>39.19494</v>
      </c>
      <c r="I152" s="9">
        <v>-112.953938611</v>
      </c>
      <c r="J152" s="10">
        <v>1380.7</v>
      </c>
      <c r="K152" s="11">
        <v>-3906.15</v>
      </c>
      <c r="L152" s="11">
        <v>-11323.084</v>
      </c>
      <c r="M152" s="11">
        <v>-0.616</v>
      </c>
      <c r="N152" s="11">
        <v>-3906.147</v>
      </c>
      <c r="O152" s="11">
        <v>-11323.075</v>
      </c>
      <c r="P152" s="11">
        <v>-5.976</v>
      </c>
      <c r="Q152" s="11">
        <v>1394.42</v>
      </c>
      <c r="R152" s="11">
        <v>-20.078</v>
      </c>
      <c r="S152" s="12">
        <v>0.89</v>
      </c>
      <c r="T152" s="13">
        <f t="shared" si="1"/>
        <v>1375.232</v>
      </c>
      <c r="U152" s="14">
        <f t="shared" si="2"/>
        <v>5.468</v>
      </c>
      <c r="V152" s="14">
        <f t="shared" si="3"/>
        <v>1.152152914</v>
      </c>
      <c r="W152" s="15" t="str">
        <f t="shared" si="4"/>
        <v/>
      </c>
      <c r="X152" s="11">
        <f t="shared" si="5"/>
        <v>1376.148</v>
      </c>
      <c r="Y152" s="14">
        <f t="shared" si="6"/>
        <v>-0.916</v>
      </c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</row>
    <row r="153">
      <c r="A153" s="7"/>
      <c r="B153" s="7"/>
      <c r="C153" s="7"/>
      <c r="D153" s="7"/>
      <c r="E153" s="7"/>
      <c r="F153" s="7" t="s">
        <v>22</v>
      </c>
      <c r="G153" s="8">
        <v>908.0</v>
      </c>
      <c r="H153" s="9">
        <v>39.2056036111</v>
      </c>
      <c r="I153" s="9">
        <v>-112.953743333</v>
      </c>
      <c r="J153" s="10">
        <v>1380.69</v>
      </c>
      <c r="K153" s="11">
        <v>-3888.626</v>
      </c>
      <c r="L153" s="11">
        <v>-10138.928</v>
      </c>
      <c r="M153" s="11">
        <v>1.382</v>
      </c>
      <c r="N153" s="11">
        <v>-3888.623</v>
      </c>
      <c r="O153" s="11">
        <v>-10138.919</v>
      </c>
      <c r="P153" s="11">
        <v>-3.678</v>
      </c>
      <c r="Q153" s="11">
        <v>1394.69</v>
      </c>
      <c r="R153" s="11">
        <v>-20.065</v>
      </c>
      <c r="S153" s="12">
        <v>0.89</v>
      </c>
      <c r="T153" s="13">
        <f t="shared" si="1"/>
        <v>1375.515</v>
      </c>
      <c r="U153" s="14">
        <f t="shared" si="2"/>
        <v>5.175</v>
      </c>
      <c r="V153" s="14">
        <f t="shared" si="3"/>
        <v>0.7836149184</v>
      </c>
      <c r="W153" s="15" t="str">
        <f t="shared" si="4"/>
        <v/>
      </c>
      <c r="X153" s="11">
        <f t="shared" si="5"/>
        <v>1376.138</v>
      </c>
      <c r="Y153" s="14">
        <f t="shared" si="6"/>
        <v>-0.623</v>
      </c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</row>
    <row r="154">
      <c r="A154" s="7"/>
      <c r="B154" s="7"/>
      <c r="C154" s="7"/>
      <c r="D154" s="7"/>
      <c r="E154" s="7"/>
      <c r="F154" s="7" t="s">
        <v>22</v>
      </c>
      <c r="G154" s="8">
        <v>909.0</v>
      </c>
      <c r="H154" s="9">
        <v>39.2165525</v>
      </c>
      <c r="I154" s="9">
        <v>-112.953974167</v>
      </c>
      <c r="J154" s="10">
        <v>1383.79</v>
      </c>
      <c r="K154" s="11">
        <v>-3907.978</v>
      </c>
      <c r="L154" s="11">
        <v>-8923.107</v>
      </c>
      <c r="M154" s="11">
        <v>6.291</v>
      </c>
      <c r="N154" s="11">
        <v>-3907.976</v>
      </c>
      <c r="O154" s="11">
        <v>-8923.101</v>
      </c>
      <c r="P154" s="11">
        <v>1.951</v>
      </c>
      <c r="Q154" s="11">
        <v>1398.5</v>
      </c>
      <c r="R154" s="11">
        <v>-20.051</v>
      </c>
      <c r="S154" s="12">
        <v>0.89</v>
      </c>
      <c r="T154" s="13">
        <f t="shared" si="1"/>
        <v>1379.339</v>
      </c>
      <c r="U154" s="14">
        <f t="shared" si="2"/>
        <v>4.451</v>
      </c>
      <c r="V154" s="14">
        <f t="shared" si="3"/>
        <v>-0.1270386946</v>
      </c>
      <c r="W154" s="15" t="str">
        <f t="shared" si="4"/>
        <v/>
      </c>
      <c r="X154" s="11">
        <f t="shared" si="5"/>
        <v>1379.238</v>
      </c>
      <c r="Y154" s="14">
        <f t="shared" si="6"/>
        <v>0.101</v>
      </c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</row>
    <row r="155">
      <c r="A155" s="7"/>
      <c r="B155" s="7"/>
      <c r="C155" s="7"/>
      <c r="D155" s="7"/>
      <c r="E155" s="7"/>
      <c r="F155" s="7" t="s">
        <v>22</v>
      </c>
      <c r="G155" s="8">
        <v>910.0</v>
      </c>
      <c r="H155" s="9">
        <v>39.2273397222</v>
      </c>
      <c r="I155" s="9">
        <v>-112.953913611</v>
      </c>
      <c r="J155" s="10">
        <v>1386.67</v>
      </c>
      <c r="K155" s="11">
        <v>-3902.2</v>
      </c>
      <c r="L155" s="11">
        <v>-7725.284</v>
      </c>
      <c r="M155" s="11">
        <v>10.742</v>
      </c>
      <c r="N155" s="11">
        <v>-3902.197</v>
      </c>
      <c r="O155" s="11">
        <v>-7725.279</v>
      </c>
      <c r="P155" s="11">
        <v>6.562</v>
      </c>
      <c r="Q155" s="11">
        <v>1401.53</v>
      </c>
      <c r="R155" s="11">
        <v>-20.036</v>
      </c>
      <c r="S155" s="12">
        <v>0.89</v>
      </c>
      <c r="T155" s="13">
        <f t="shared" si="1"/>
        <v>1382.384</v>
      </c>
      <c r="U155" s="14">
        <f t="shared" si="2"/>
        <v>4.286</v>
      </c>
      <c r="V155" s="14">
        <f t="shared" si="3"/>
        <v>-0.3345771562</v>
      </c>
      <c r="W155" s="15" t="str">
        <f t="shared" si="4"/>
        <v/>
      </c>
      <c r="X155" s="11">
        <f t="shared" si="5"/>
        <v>1382.118</v>
      </c>
      <c r="Y155" s="14">
        <f t="shared" si="6"/>
        <v>0.266</v>
      </c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</row>
    <row r="156">
      <c r="A156" s="7"/>
      <c r="B156" s="7"/>
      <c r="C156" s="7"/>
      <c r="D156" s="7"/>
      <c r="E156" s="7"/>
      <c r="F156" s="7" t="s">
        <v>22</v>
      </c>
      <c r="G156" s="8">
        <v>911.0</v>
      </c>
      <c r="H156" s="9">
        <v>39.23819</v>
      </c>
      <c r="I156" s="9">
        <v>-112.953916944</v>
      </c>
      <c r="J156" s="10">
        <v>1385.63</v>
      </c>
      <c r="K156" s="11">
        <v>-3901.857</v>
      </c>
      <c r="L156" s="11">
        <v>-6520.455</v>
      </c>
      <c r="M156" s="11">
        <v>11.051</v>
      </c>
      <c r="N156" s="11">
        <v>-3901.855</v>
      </c>
      <c r="O156" s="11">
        <v>-6520.45</v>
      </c>
      <c r="P156" s="11">
        <v>6.591</v>
      </c>
      <c r="Q156" s="11">
        <v>1400.19</v>
      </c>
      <c r="R156" s="11">
        <v>-20.022</v>
      </c>
      <c r="S156" s="12">
        <v>0.89</v>
      </c>
      <c r="T156" s="13">
        <f t="shared" si="1"/>
        <v>1381.058</v>
      </c>
      <c r="U156" s="14">
        <f t="shared" si="2"/>
        <v>4.572</v>
      </c>
      <c r="V156" s="14">
        <f t="shared" si="3"/>
        <v>0.02515617716</v>
      </c>
      <c r="W156" s="15" t="str">
        <f t="shared" si="4"/>
        <v/>
      </c>
      <c r="X156" s="11">
        <f t="shared" si="5"/>
        <v>1381.078</v>
      </c>
      <c r="Y156" s="14">
        <f t="shared" si="6"/>
        <v>-0.02</v>
      </c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</row>
    <row r="157">
      <c r="A157" s="7"/>
      <c r="B157" s="7"/>
      <c r="C157" s="7"/>
      <c r="D157" s="7"/>
      <c r="E157" s="7"/>
      <c r="F157" s="7" t="s">
        <v>22</v>
      </c>
      <c r="G157" s="8">
        <v>912.0</v>
      </c>
      <c r="H157" s="9">
        <v>39.2490119444</v>
      </c>
      <c r="I157" s="9">
        <v>-112.953885278</v>
      </c>
      <c r="J157" s="10">
        <v>1386.1</v>
      </c>
      <c r="K157" s="11">
        <v>-3898.495</v>
      </c>
      <c r="L157" s="11">
        <v>-5318.736</v>
      </c>
      <c r="M157" s="11">
        <v>12.641</v>
      </c>
      <c r="N157" s="11">
        <v>-3898.493</v>
      </c>
      <c r="O157" s="11">
        <v>-5318.732</v>
      </c>
      <c r="P157" s="11">
        <v>8.231</v>
      </c>
      <c r="Q157" s="11">
        <v>1400.7</v>
      </c>
      <c r="R157" s="11">
        <v>-20.009</v>
      </c>
      <c r="S157" s="12">
        <v>0.89</v>
      </c>
      <c r="T157" s="13">
        <f t="shared" si="1"/>
        <v>1381.581</v>
      </c>
      <c r="U157" s="14">
        <f t="shared" si="2"/>
        <v>4.519</v>
      </c>
      <c r="V157" s="14">
        <f t="shared" si="3"/>
        <v>-0.04150769231</v>
      </c>
      <c r="W157" s="15" t="str">
        <f t="shared" si="4"/>
        <v/>
      </c>
      <c r="X157" s="11">
        <f t="shared" si="5"/>
        <v>1381.548</v>
      </c>
      <c r="Y157" s="14">
        <f t="shared" si="6"/>
        <v>0.033</v>
      </c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</row>
    <row r="158">
      <c r="A158" s="7"/>
      <c r="B158" s="7"/>
      <c r="C158" s="7"/>
      <c r="D158" s="7"/>
      <c r="E158" s="7"/>
      <c r="F158" s="7" t="s">
        <v>22</v>
      </c>
      <c r="G158" s="8">
        <v>913.0</v>
      </c>
      <c r="H158" s="9">
        <v>39.2598130556</v>
      </c>
      <c r="I158" s="9">
        <v>-112.953904722</v>
      </c>
      <c r="J158" s="10">
        <v>1389.21</v>
      </c>
      <c r="K158" s="11">
        <v>-3899.626</v>
      </c>
      <c r="L158" s="11">
        <v>-4119.345</v>
      </c>
      <c r="M158" s="11">
        <v>16.64</v>
      </c>
      <c r="N158" s="11">
        <v>-3899.623</v>
      </c>
      <c r="O158" s="11">
        <v>-4119.342</v>
      </c>
      <c r="P158" s="11">
        <v>12.03</v>
      </c>
      <c r="Q158" s="11">
        <v>1403.59</v>
      </c>
      <c r="R158" s="11">
        <v>-19.995</v>
      </c>
      <c r="S158" s="12">
        <v>0.89</v>
      </c>
      <c r="T158" s="13">
        <f t="shared" si="1"/>
        <v>1384.485</v>
      </c>
      <c r="U158" s="14">
        <f t="shared" si="2"/>
        <v>4.725</v>
      </c>
      <c r="V158" s="14">
        <f t="shared" si="3"/>
        <v>0.2176009324</v>
      </c>
      <c r="W158" s="15" t="str">
        <f t="shared" si="4"/>
        <v/>
      </c>
      <c r="X158" s="11">
        <f t="shared" si="5"/>
        <v>1384.658</v>
      </c>
      <c r="Y158" s="14">
        <f t="shared" si="6"/>
        <v>-0.173</v>
      </c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</row>
    <row r="159">
      <c r="A159" s="7"/>
      <c r="B159" s="7"/>
      <c r="C159" s="7"/>
      <c r="D159" s="7"/>
      <c r="E159" s="7"/>
      <c r="F159" s="7" t="s">
        <v>22</v>
      </c>
      <c r="G159" s="8">
        <v>914.0</v>
      </c>
      <c r="H159" s="9">
        <v>39.2705872222</v>
      </c>
      <c r="I159" s="9">
        <v>-112.953893889</v>
      </c>
      <c r="J159" s="10">
        <v>1389.53</v>
      </c>
      <c r="K159" s="11">
        <v>-3898.079</v>
      </c>
      <c r="L159" s="11">
        <v>-2922.95</v>
      </c>
      <c r="M159" s="11">
        <v>17.623</v>
      </c>
      <c r="N159" s="11">
        <v>-3898.078</v>
      </c>
      <c r="O159" s="11">
        <v>-2922.948</v>
      </c>
      <c r="P159" s="11">
        <v>14.503</v>
      </c>
      <c r="Q159" s="11">
        <v>1405.39</v>
      </c>
      <c r="R159" s="11">
        <v>-19.979</v>
      </c>
      <c r="S159" s="12">
        <v>0.89</v>
      </c>
      <c r="T159" s="13">
        <f t="shared" si="1"/>
        <v>1386.301</v>
      </c>
      <c r="U159" s="14">
        <f t="shared" si="2"/>
        <v>3.229</v>
      </c>
      <c r="V159" s="14">
        <f t="shared" si="3"/>
        <v>-1.664081119</v>
      </c>
      <c r="W159" s="15" t="str">
        <f t="shared" si="4"/>
        <v/>
      </c>
      <c r="X159" s="11">
        <f t="shared" si="5"/>
        <v>1384.978</v>
      </c>
      <c r="Y159" s="14">
        <f t="shared" si="6"/>
        <v>1.323</v>
      </c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</row>
    <row r="160">
      <c r="A160" s="7"/>
      <c r="B160" s="7"/>
      <c r="C160" s="7"/>
      <c r="D160" s="7"/>
      <c r="E160" s="7"/>
      <c r="F160" s="7" t="s">
        <v>22</v>
      </c>
      <c r="G160" s="8">
        <v>915.0</v>
      </c>
      <c r="H160" s="9">
        <v>39.2814288889</v>
      </c>
      <c r="I160" s="9">
        <v>-112.95386</v>
      </c>
      <c r="J160" s="10">
        <v>1397.63</v>
      </c>
      <c r="K160" s="11">
        <v>-3894.549</v>
      </c>
      <c r="L160" s="11">
        <v>-1719.004</v>
      </c>
      <c r="M160" s="11">
        <v>26.165</v>
      </c>
      <c r="N160" s="11">
        <v>-3894.547</v>
      </c>
      <c r="O160" s="11">
        <v>-1719.003</v>
      </c>
      <c r="P160" s="11">
        <v>21.855</v>
      </c>
      <c r="Q160" s="11">
        <v>1412.28</v>
      </c>
      <c r="R160" s="11">
        <v>-19.963</v>
      </c>
      <c r="S160" s="12">
        <v>0.89</v>
      </c>
      <c r="T160" s="13">
        <f t="shared" si="1"/>
        <v>1393.207</v>
      </c>
      <c r="U160" s="14">
        <f t="shared" si="2"/>
        <v>4.423</v>
      </c>
      <c r="V160" s="14">
        <f t="shared" si="3"/>
        <v>-0.1622573427</v>
      </c>
      <c r="W160" s="15" t="str">
        <f t="shared" si="4"/>
        <v/>
      </c>
      <c r="X160" s="11">
        <f t="shared" si="5"/>
        <v>1393.078</v>
      </c>
      <c r="Y160" s="14">
        <f t="shared" si="6"/>
        <v>0.129</v>
      </c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</row>
    <row r="161">
      <c r="A161" s="7"/>
      <c r="B161" s="7"/>
      <c r="C161" s="7"/>
      <c r="D161" s="7"/>
      <c r="E161" s="7"/>
      <c r="F161" s="7" t="s">
        <v>22</v>
      </c>
      <c r="G161" s="8">
        <v>916.0</v>
      </c>
      <c r="H161" s="9">
        <v>39.2922308333</v>
      </c>
      <c r="I161" s="9">
        <v>-112.953799167</v>
      </c>
      <c r="J161" s="10">
        <v>1395.53</v>
      </c>
      <c r="K161" s="11">
        <v>-3888.686</v>
      </c>
      <c r="L161" s="11">
        <v>-519.494</v>
      </c>
      <c r="M161" s="11">
        <v>24.279</v>
      </c>
      <c r="N161" s="11">
        <v>-3888.685</v>
      </c>
      <c r="O161" s="11">
        <v>-519.494</v>
      </c>
      <c r="P161" s="11">
        <v>21.429</v>
      </c>
      <c r="Q161" s="11">
        <v>1411.63</v>
      </c>
      <c r="R161" s="11">
        <v>-19.948</v>
      </c>
      <c r="S161" s="12">
        <v>0.89</v>
      </c>
      <c r="T161" s="13">
        <f t="shared" si="1"/>
        <v>1392.572</v>
      </c>
      <c r="U161" s="14">
        <f t="shared" si="2"/>
        <v>2.958</v>
      </c>
      <c r="V161" s="14">
        <f t="shared" si="3"/>
        <v>-2.004947319</v>
      </c>
      <c r="W161" s="15" t="str">
        <f t="shared" si="4"/>
        <v/>
      </c>
      <c r="X161" s="11">
        <f t="shared" si="5"/>
        <v>1390.978</v>
      </c>
      <c r="Y161" s="14">
        <f t="shared" si="6"/>
        <v>1.594</v>
      </c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</row>
    <row r="162">
      <c r="A162" s="7"/>
      <c r="B162" s="7"/>
      <c r="C162" s="7"/>
      <c r="D162" s="7"/>
      <c r="E162" s="7"/>
      <c r="F162" s="7" t="s">
        <v>22</v>
      </c>
      <c r="G162" s="8">
        <v>917.0</v>
      </c>
      <c r="H162" s="9">
        <v>39.3030594444</v>
      </c>
      <c r="I162" s="9">
        <v>-112.953821944</v>
      </c>
      <c r="J162" s="10">
        <v>1395.66</v>
      </c>
      <c r="K162" s="11">
        <v>-3890.072</v>
      </c>
      <c r="L162" s="11">
        <v>682.907</v>
      </c>
      <c r="M162" s="11">
        <v>24.393</v>
      </c>
      <c r="N162" s="11">
        <v>-3890.069</v>
      </c>
      <c r="O162" s="11">
        <v>682.907</v>
      </c>
      <c r="P162" s="11">
        <v>20.443</v>
      </c>
      <c r="Q162" s="11">
        <v>1410.64</v>
      </c>
      <c r="R162" s="11">
        <v>-19.932</v>
      </c>
      <c r="S162" s="12">
        <v>0.89</v>
      </c>
      <c r="T162" s="13">
        <f t="shared" si="1"/>
        <v>1391.598</v>
      </c>
      <c r="U162" s="14">
        <f t="shared" si="2"/>
        <v>4.062</v>
      </c>
      <c r="V162" s="14">
        <f t="shared" si="3"/>
        <v>-0.6163263403</v>
      </c>
      <c r="W162" s="15" t="str">
        <f t="shared" si="4"/>
        <v/>
      </c>
      <c r="X162" s="11">
        <f t="shared" si="5"/>
        <v>1391.108</v>
      </c>
      <c r="Y162" s="14">
        <f t="shared" si="6"/>
        <v>0.49</v>
      </c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</row>
    <row r="163">
      <c r="A163" s="7"/>
      <c r="B163" s="7"/>
      <c r="C163" s="7"/>
      <c r="D163" s="7"/>
      <c r="E163" s="7"/>
      <c r="F163" s="7" t="s">
        <v>22</v>
      </c>
      <c r="G163" s="8">
        <v>918.0</v>
      </c>
      <c r="H163" s="9">
        <v>39.3138913889</v>
      </c>
      <c r="I163" s="9">
        <v>-112.953829167</v>
      </c>
      <c r="J163" s="10">
        <v>1394.17</v>
      </c>
      <c r="K163" s="11">
        <v>-3890.075</v>
      </c>
      <c r="L163" s="11">
        <v>1885.754</v>
      </c>
      <c r="M163" s="11">
        <v>22.66</v>
      </c>
      <c r="N163" s="11">
        <v>-3890.073</v>
      </c>
      <c r="O163" s="11">
        <v>1885.753</v>
      </c>
      <c r="P163" s="11">
        <v>18.94</v>
      </c>
      <c r="Q163" s="11">
        <v>1409.36</v>
      </c>
      <c r="R163" s="11">
        <v>-19.915</v>
      </c>
      <c r="S163" s="12">
        <v>0.89</v>
      </c>
      <c r="T163" s="13">
        <f t="shared" si="1"/>
        <v>1390.335</v>
      </c>
      <c r="U163" s="14">
        <f t="shared" si="2"/>
        <v>3.835</v>
      </c>
      <c r="V163" s="14">
        <f t="shared" si="3"/>
        <v>-0.901848951</v>
      </c>
      <c r="W163" s="15" t="str">
        <f t="shared" si="4"/>
        <v/>
      </c>
      <c r="X163" s="11">
        <f t="shared" si="5"/>
        <v>1389.618</v>
      </c>
      <c r="Y163" s="14">
        <f t="shared" si="6"/>
        <v>0.717</v>
      </c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</row>
    <row r="164">
      <c r="A164" s="7"/>
      <c r="B164" s="7"/>
      <c r="C164" s="7"/>
      <c r="D164" s="7"/>
      <c r="E164" s="7"/>
      <c r="F164" s="7" t="s">
        <v>22</v>
      </c>
      <c r="G164" s="8">
        <v>919.0</v>
      </c>
      <c r="H164" s="9">
        <v>39.3246658333</v>
      </c>
      <c r="I164" s="9">
        <v>-112.953813333</v>
      </c>
      <c r="J164" s="10">
        <v>1400.23</v>
      </c>
      <c r="K164" s="11">
        <v>-3888.102</v>
      </c>
      <c r="L164" s="11">
        <v>3082.276</v>
      </c>
      <c r="M164" s="11">
        <v>28.254</v>
      </c>
      <c r="N164" s="11">
        <v>-3888.099</v>
      </c>
      <c r="O164" s="11">
        <v>3082.274</v>
      </c>
      <c r="P164" s="11">
        <v>23.964</v>
      </c>
      <c r="Q164" s="11">
        <v>1414.83</v>
      </c>
      <c r="R164" s="11">
        <v>-19.895</v>
      </c>
      <c r="S164" s="12">
        <v>0.89</v>
      </c>
      <c r="T164" s="13">
        <f t="shared" si="1"/>
        <v>1395.825</v>
      </c>
      <c r="U164" s="14">
        <f t="shared" si="2"/>
        <v>4.405</v>
      </c>
      <c r="V164" s="14">
        <f t="shared" si="3"/>
        <v>-0.1848979021</v>
      </c>
      <c r="W164" s="15" t="str">
        <f t="shared" si="4"/>
        <v/>
      </c>
      <c r="X164" s="11">
        <f t="shared" si="5"/>
        <v>1395.678</v>
      </c>
      <c r="Y164" s="14">
        <f t="shared" si="6"/>
        <v>0.147</v>
      </c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</row>
    <row r="165">
      <c r="A165" s="7"/>
      <c r="B165" s="7"/>
      <c r="C165" s="7"/>
      <c r="D165" s="7"/>
      <c r="E165" s="7"/>
      <c r="F165" s="7" t="s">
        <v>22</v>
      </c>
      <c r="G165" s="8">
        <v>920.0</v>
      </c>
      <c r="H165" s="9">
        <v>39.3354816667</v>
      </c>
      <c r="I165" s="9">
        <v>-112.953770278</v>
      </c>
      <c r="J165" s="10">
        <v>1408.09</v>
      </c>
      <c r="K165" s="11">
        <v>-3883.8</v>
      </c>
      <c r="L165" s="11">
        <v>4283.355</v>
      </c>
      <c r="M165" s="11">
        <v>35.422</v>
      </c>
      <c r="N165" s="11">
        <v>-3883.797</v>
      </c>
      <c r="O165" s="11">
        <v>4283.352</v>
      </c>
      <c r="P165" s="11">
        <v>30.232</v>
      </c>
      <c r="Q165" s="11">
        <v>1421.77</v>
      </c>
      <c r="R165" s="11">
        <v>-19.872</v>
      </c>
      <c r="S165" s="12">
        <v>0.89</v>
      </c>
      <c r="T165" s="13">
        <f t="shared" si="1"/>
        <v>1402.788</v>
      </c>
      <c r="U165" s="14">
        <f t="shared" si="2"/>
        <v>5.302</v>
      </c>
      <c r="V165" s="14">
        <f t="shared" si="3"/>
        <v>0.9433566434</v>
      </c>
      <c r="W165" s="15" t="str">
        <f t="shared" si="4"/>
        <v/>
      </c>
      <c r="X165" s="11">
        <f t="shared" si="5"/>
        <v>1403.538</v>
      </c>
      <c r="Y165" s="14">
        <f t="shared" si="6"/>
        <v>-0.75</v>
      </c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</row>
    <row r="166">
      <c r="A166" s="7"/>
      <c r="B166" s="7"/>
      <c r="C166" s="7"/>
      <c r="D166" s="7"/>
      <c r="E166" s="7"/>
      <c r="F166" s="7" t="s">
        <v>22</v>
      </c>
      <c r="G166" s="8">
        <v>921.0</v>
      </c>
      <c r="H166" s="9">
        <v>39.3463116667</v>
      </c>
      <c r="I166" s="9">
        <v>-112.953740278</v>
      </c>
      <c r="J166" s="10">
        <v>1418.63</v>
      </c>
      <c r="K166" s="11">
        <v>-3880.62</v>
      </c>
      <c r="L166" s="11">
        <v>5485.997</v>
      </c>
      <c r="M166" s="11">
        <v>45.04</v>
      </c>
      <c r="N166" s="11">
        <v>-3880.617</v>
      </c>
      <c r="O166" s="11">
        <v>5485.992</v>
      </c>
      <c r="P166" s="11">
        <v>39.2</v>
      </c>
      <c r="Q166" s="11">
        <v>1431.64</v>
      </c>
      <c r="R166" s="11">
        <v>-19.847</v>
      </c>
      <c r="S166" s="12">
        <v>0.89</v>
      </c>
      <c r="T166" s="13">
        <f t="shared" si="1"/>
        <v>1412.683</v>
      </c>
      <c r="U166" s="14">
        <f t="shared" si="2"/>
        <v>5.947</v>
      </c>
      <c r="V166" s="14">
        <f t="shared" si="3"/>
        <v>1.754643357</v>
      </c>
      <c r="W166" s="15" t="str">
        <f t="shared" si="4"/>
        <v/>
      </c>
      <c r="X166" s="11">
        <f t="shared" si="5"/>
        <v>1414.078</v>
      </c>
      <c r="Y166" s="14">
        <f t="shared" si="6"/>
        <v>-1.395</v>
      </c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</row>
    <row r="167">
      <c r="A167" s="7"/>
      <c r="B167" s="7"/>
      <c r="C167" s="7"/>
      <c r="D167" s="7"/>
      <c r="E167" s="7"/>
      <c r="F167" s="7" t="s">
        <v>22</v>
      </c>
      <c r="G167" s="8">
        <v>922.0</v>
      </c>
      <c r="H167" s="9">
        <v>39.3571241667</v>
      </c>
      <c r="I167" s="9">
        <v>-112.953725</v>
      </c>
      <c r="J167" s="10">
        <v>1438.32</v>
      </c>
      <c r="K167" s="11">
        <v>-3878.741</v>
      </c>
      <c r="L167" s="11">
        <v>6686.656</v>
      </c>
      <c r="M167" s="11">
        <v>63.583</v>
      </c>
      <c r="N167" s="11">
        <v>-3878.738</v>
      </c>
      <c r="O167" s="11">
        <v>6686.651</v>
      </c>
      <c r="P167" s="11">
        <v>58.793</v>
      </c>
      <c r="Q167" s="11">
        <v>1452.35</v>
      </c>
      <c r="R167" s="11">
        <v>-19.818</v>
      </c>
      <c r="S167" s="12">
        <v>0.89</v>
      </c>
      <c r="T167" s="13">
        <f t="shared" si="1"/>
        <v>1433.422</v>
      </c>
      <c r="U167" s="14">
        <f t="shared" si="2"/>
        <v>4.898</v>
      </c>
      <c r="V167" s="14">
        <f t="shared" si="3"/>
        <v>0.4352018648</v>
      </c>
      <c r="W167" s="15" t="str">
        <f t="shared" si="4"/>
        <v/>
      </c>
      <c r="X167" s="11">
        <f t="shared" si="5"/>
        <v>1433.768</v>
      </c>
      <c r="Y167" s="14">
        <f t="shared" si="6"/>
        <v>-0.346</v>
      </c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</row>
    <row r="168">
      <c r="A168" s="7"/>
      <c r="B168" s="7"/>
      <c r="C168" s="7"/>
      <c r="D168" s="7"/>
      <c r="E168" s="7"/>
      <c r="F168" s="7" t="s">
        <v>22</v>
      </c>
      <c r="G168" s="8">
        <v>923.0</v>
      </c>
      <c r="H168" s="9">
        <v>39.3679066667</v>
      </c>
      <c r="I168" s="9">
        <v>-112.953739167</v>
      </c>
      <c r="J168" s="10">
        <v>1454.07</v>
      </c>
      <c r="K168" s="11">
        <v>-3879.361</v>
      </c>
      <c r="L168" s="11">
        <v>7884.1</v>
      </c>
      <c r="M168" s="11">
        <v>77.961</v>
      </c>
      <c r="N168" s="11">
        <v>-3879.358</v>
      </c>
      <c r="O168" s="11">
        <v>7884.095</v>
      </c>
      <c r="P168" s="11">
        <v>73.631</v>
      </c>
      <c r="Q168" s="11">
        <v>1468.53</v>
      </c>
      <c r="R168" s="11">
        <v>-19.786</v>
      </c>
      <c r="S168" s="12">
        <v>0.89</v>
      </c>
      <c r="T168" s="13">
        <f t="shared" si="1"/>
        <v>1449.634</v>
      </c>
      <c r="U168" s="14">
        <f t="shared" si="2"/>
        <v>4.436</v>
      </c>
      <c r="V168" s="14">
        <f t="shared" si="3"/>
        <v>-0.1459058275</v>
      </c>
      <c r="W168" s="15" t="str">
        <f t="shared" si="4"/>
        <v/>
      </c>
      <c r="X168" s="11">
        <f t="shared" si="5"/>
        <v>1449.518</v>
      </c>
      <c r="Y168" s="14">
        <f t="shared" si="6"/>
        <v>0.116</v>
      </c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</row>
    <row r="169">
      <c r="A169" s="7"/>
      <c r="B169" s="7"/>
      <c r="C169" s="7"/>
      <c r="D169" s="7"/>
      <c r="E169" s="7"/>
      <c r="F169" s="7" t="s">
        <v>22</v>
      </c>
      <c r="G169" s="8">
        <v>924.0</v>
      </c>
      <c r="H169" s="9">
        <v>39.3788208333</v>
      </c>
      <c r="I169" s="9">
        <v>-112.953748333</v>
      </c>
      <c r="J169" s="10">
        <v>1471.94</v>
      </c>
      <c r="K169" s="11">
        <v>-3879.543</v>
      </c>
      <c r="L169" s="11">
        <v>9096.103</v>
      </c>
      <c r="M169" s="11">
        <v>94.214</v>
      </c>
      <c r="N169" s="11">
        <v>-3879.541</v>
      </c>
      <c r="O169" s="11">
        <v>9096.096</v>
      </c>
      <c r="P169" s="11">
        <v>89.644</v>
      </c>
      <c r="Q169" s="11">
        <v>1486.12</v>
      </c>
      <c r="R169" s="11">
        <v>-19.753</v>
      </c>
      <c r="S169" s="12">
        <v>0.89</v>
      </c>
      <c r="T169" s="13">
        <f t="shared" si="1"/>
        <v>1467.257</v>
      </c>
      <c r="U169" s="14">
        <f t="shared" si="2"/>
        <v>4.683</v>
      </c>
      <c r="V169" s="14">
        <f t="shared" si="3"/>
        <v>0.1647729604</v>
      </c>
      <c r="W169" s="15" t="str">
        <f t="shared" si="4"/>
        <v/>
      </c>
      <c r="X169" s="11">
        <f t="shared" si="5"/>
        <v>1467.388</v>
      </c>
      <c r="Y169" s="14">
        <f t="shared" si="6"/>
        <v>-0.131</v>
      </c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</row>
    <row r="170">
      <c r="A170" s="7"/>
      <c r="B170" s="7"/>
      <c r="C170" s="7"/>
      <c r="D170" s="7"/>
      <c r="E170" s="7"/>
      <c r="F170" s="7" t="s">
        <v>31</v>
      </c>
      <c r="G170" s="8">
        <v>928.0</v>
      </c>
      <c r="H170" s="9">
        <v>39.42081611111111</v>
      </c>
      <c r="I170" s="9">
        <v>-112.95515527777778</v>
      </c>
      <c r="J170" s="13">
        <v>1503.26</v>
      </c>
      <c r="K170" s="10">
        <v>-3998.423</v>
      </c>
      <c r="L170" s="10">
        <v>13759.719</v>
      </c>
      <c r="M170" s="10">
        <v>117.084</v>
      </c>
      <c r="N170" s="10">
        <v>-3998.421</v>
      </c>
      <c r="O170" s="10">
        <v>13759.711</v>
      </c>
      <c r="P170" s="10">
        <v>113.514</v>
      </c>
      <c r="Q170" s="13">
        <v>1518.33</v>
      </c>
      <c r="R170" s="13">
        <v>-19.638</v>
      </c>
      <c r="S170" s="12">
        <v>0.89</v>
      </c>
      <c r="T170" s="13">
        <f t="shared" si="1"/>
        <v>1499.582</v>
      </c>
      <c r="U170" s="14">
        <f t="shared" si="2"/>
        <v>3.678</v>
      </c>
      <c r="V170" s="14">
        <f t="shared" si="3"/>
        <v>-1.099324942</v>
      </c>
      <c r="W170" s="15" t="str">
        <f t="shared" si="4"/>
        <v/>
      </c>
      <c r="X170" s="11">
        <f t="shared" si="5"/>
        <v>1498.708</v>
      </c>
      <c r="Y170" s="14">
        <f t="shared" si="6"/>
        <v>0.874</v>
      </c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</row>
    <row r="171">
      <c r="A171" s="7"/>
      <c r="B171" s="7"/>
      <c r="C171" s="7"/>
      <c r="D171" s="7"/>
      <c r="E171" s="7"/>
      <c r="F171" s="7" t="s">
        <v>22</v>
      </c>
      <c r="G171" s="8">
        <v>1001.0</v>
      </c>
      <c r="H171" s="9">
        <v>39.1313016667</v>
      </c>
      <c r="I171" s="9">
        <v>-112.938575833</v>
      </c>
      <c r="J171" s="10">
        <v>1370.96</v>
      </c>
      <c r="K171" s="11">
        <v>-2581.002</v>
      </c>
      <c r="L171" s="11">
        <v>-18390.122</v>
      </c>
      <c r="M171" s="11">
        <v>-26.185</v>
      </c>
      <c r="N171" s="11">
        <v>-2581.0</v>
      </c>
      <c r="O171" s="11">
        <v>-18390.107</v>
      </c>
      <c r="P171" s="11">
        <v>-31.205</v>
      </c>
      <c r="Q171" s="11">
        <v>1385.05</v>
      </c>
      <c r="R171" s="11">
        <v>-20.112</v>
      </c>
      <c r="S171" s="12">
        <v>0.89</v>
      </c>
      <c r="T171" s="13">
        <f t="shared" si="1"/>
        <v>1365.828</v>
      </c>
      <c r="U171" s="14">
        <f t="shared" si="2"/>
        <v>5.132</v>
      </c>
      <c r="V171" s="14">
        <f t="shared" si="3"/>
        <v>0.7295291375</v>
      </c>
      <c r="W171" s="15" t="str">
        <f t="shared" si="4"/>
        <v/>
      </c>
      <c r="X171" s="11">
        <f t="shared" si="5"/>
        <v>1366.408</v>
      </c>
      <c r="Y171" s="14">
        <f t="shared" si="6"/>
        <v>-0.58</v>
      </c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</row>
    <row r="172">
      <c r="A172" s="7"/>
      <c r="B172" s="7"/>
      <c r="C172" s="7"/>
      <c r="D172" s="7"/>
      <c r="E172" s="7"/>
      <c r="F172" s="7" t="s">
        <v>22</v>
      </c>
      <c r="G172" s="8">
        <v>1002.0</v>
      </c>
      <c r="H172" s="9">
        <v>39.1409258333</v>
      </c>
      <c r="I172" s="9">
        <v>-112.940190833</v>
      </c>
      <c r="J172" s="10">
        <v>1372.03</v>
      </c>
      <c r="K172" s="11">
        <v>-2720.305</v>
      </c>
      <c r="L172" s="11">
        <v>-17321.413</v>
      </c>
      <c r="M172" s="11">
        <v>-22.174</v>
      </c>
      <c r="N172" s="11">
        <v>-2720.303</v>
      </c>
      <c r="O172" s="11">
        <v>-17321.401</v>
      </c>
      <c r="P172" s="11">
        <v>-26.534</v>
      </c>
      <c r="Q172" s="11">
        <v>1386.78</v>
      </c>
      <c r="R172" s="11">
        <v>-20.111</v>
      </c>
      <c r="S172" s="12">
        <v>0.89</v>
      </c>
      <c r="T172" s="13">
        <f t="shared" si="1"/>
        <v>1367.559</v>
      </c>
      <c r="U172" s="14">
        <f t="shared" si="2"/>
        <v>4.471</v>
      </c>
      <c r="V172" s="14">
        <f t="shared" si="3"/>
        <v>-0.1018825175</v>
      </c>
      <c r="W172" s="15" t="str">
        <f t="shared" si="4"/>
        <v/>
      </c>
      <c r="X172" s="11">
        <f t="shared" si="5"/>
        <v>1367.478</v>
      </c>
      <c r="Y172" s="14">
        <f t="shared" si="6"/>
        <v>0.081</v>
      </c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</row>
    <row r="173">
      <c r="A173" s="7"/>
      <c r="B173" s="7"/>
      <c r="C173" s="7"/>
      <c r="D173" s="7"/>
      <c r="E173" s="7"/>
      <c r="F173" s="7" t="s">
        <v>22</v>
      </c>
      <c r="G173" s="8">
        <v>1003.0</v>
      </c>
      <c r="H173" s="9">
        <v>39.1521361111</v>
      </c>
      <c r="I173" s="9">
        <v>-112.940120556</v>
      </c>
      <c r="J173" s="10">
        <v>1373.33</v>
      </c>
      <c r="K173" s="11">
        <v>-2713.822</v>
      </c>
      <c r="L173" s="11">
        <v>-16076.64</v>
      </c>
      <c r="M173" s="11">
        <v>-17.604</v>
      </c>
      <c r="N173" s="11">
        <v>-2713.82</v>
      </c>
      <c r="O173" s="11">
        <v>-16076.629</v>
      </c>
      <c r="P173" s="11">
        <v>-21.824</v>
      </c>
      <c r="Q173" s="11">
        <v>1388.21</v>
      </c>
      <c r="R173" s="11">
        <v>-20.105</v>
      </c>
      <c r="S173" s="12">
        <v>0.89</v>
      </c>
      <c r="T173" s="13">
        <f t="shared" si="1"/>
        <v>1368.995</v>
      </c>
      <c r="U173" s="14">
        <f t="shared" si="2"/>
        <v>4.335</v>
      </c>
      <c r="V173" s="14">
        <f t="shared" si="3"/>
        <v>-0.2729445221</v>
      </c>
      <c r="W173" s="15" t="str">
        <f t="shared" si="4"/>
        <v/>
      </c>
      <c r="X173" s="11">
        <f t="shared" si="5"/>
        <v>1368.778</v>
      </c>
      <c r="Y173" s="14">
        <f t="shared" si="6"/>
        <v>0.217</v>
      </c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</row>
    <row r="174">
      <c r="A174" s="7"/>
      <c r="B174" s="7"/>
      <c r="C174" s="7"/>
      <c r="D174" s="7"/>
      <c r="E174" s="7"/>
      <c r="F174" s="7" t="s">
        <v>22</v>
      </c>
      <c r="G174" s="8">
        <v>1004.0</v>
      </c>
      <c r="H174" s="9">
        <v>39.1623997222</v>
      </c>
      <c r="I174" s="9">
        <v>-112.940026944</v>
      </c>
      <c r="J174" s="10">
        <v>1372.71</v>
      </c>
      <c r="K174" s="11">
        <v>-2705.301</v>
      </c>
      <c r="L174" s="11">
        <v>-14936.905</v>
      </c>
      <c r="M174" s="11">
        <v>-15.443</v>
      </c>
      <c r="N174" s="11">
        <v>-2705.299</v>
      </c>
      <c r="O174" s="11">
        <v>-14936.892</v>
      </c>
      <c r="P174" s="11">
        <v>-20.653</v>
      </c>
      <c r="Q174" s="11">
        <v>1386.6</v>
      </c>
      <c r="R174" s="11">
        <v>-20.098</v>
      </c>
      <c r="S174" s="12">
        <v>0.89</v>
      </c>
      <c r="T174" s="13">
        <f t="shared" si="1"/>
        <v>1367.392</v>
      </c>
      <c r="U174" s="14">
        <f t="shared" si="2"/>
        <v>5.318</v>
      </c>
      <c r="V174" s="14">
        <f t="shared" si="3"/>
        <v>0.9634815851</v>
      </c>
      <c r="W174" s="15" t="str">
        <f t="shared" si="4"/>
        <v/>
      </c>
      <c r="X174" s="11">
        <f t="shared" si="5"/>
        <v>1368.158</v>
      </c>
      <c r="Y174" s="14">
        <f t="shared" si="6"/>
        <v>-0.766</v>
      </c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</row>
    <row r="175">
      <c r="A175" s="7"/>
      <c r="B175" s="7"/>
      <c r="C175" s="7"/>
      <c r="D175" s="7"/>
      <c r="E175" s="7"/>
      <c r="F175" s="7" t="s">
        <v>22</v>
      </c>
      <c r="G175" s="8">
        <v>1005.0</v>
      </c>
      <c r="H175" s="9">
        <v>39.1732730556</v>
      </c>
      <c r="I175" s="9">
        <v>-112.940050833</v>
      </c>
      <c r="J175" s="10">
        <v>1374.59</v>
      </c>
      <c r="K175" s="11">
        <v>-2706.96</v>
      </c>
      <c r="L175" s="11">
        <v>-13729.544</v>
      </c>
      <c r="M175" s="11">
        <v>-10.843</v>
      </c>
      <c r="N175" s="11">
        <v>-2706.958</v>
      </c>
      <c r="O175" s="11">
        <v>-13729.534</v>
      </c>
      <c r="P175" s="11">
        <v>-15.573</v>
      </c>
      <c r="Q175" s="11">
        <v>1388.95</v>
      </c>
      <c r="R175" s="11">
        <v>-20.089</v>
      </c>
      <c r="S175" s="12">
        <v>0.89</v>
      </c>
      <c r="T175" s="13">
        <f t="shared" si="1"/>
        <v>1369.751</v>
      </c>
      <c r="U175" s="14">
        <f t="shared" si="2"/>
        <v>4.839</v>
      </c>
      <c r="V175" s="14">
        <f t="shared" si="3"/>
        <v>0.3609911422</v>
      </c>
      <c r="W175" s="15" t="str">
        <f t="shared" si="4"/>
        <v/>
      </c>
      <c r="X175" s="11">
        <f t="shared" si="5"/>
        <v>1370.038</v>
      </c>
      <c r="Y175" s="14">
        <f t="shared" si="6"/>
        <v>-0.287</v>
      </c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</row>
    <row r="176">
      <c r="A176" s="7"/>
      <c r="B176" s="7"/>
      <c r="C176" s="7"/>
      <c r="D176" s="7"/>
      <c r="E176" s="7"/>
      <c r="F176" s="7" t="s">
        <v>22</v>
      </c>
      <c r="G176" s="8">
        <v>1006.0</v>
      </c>
      <c r="H176" s="9">
        <v>39.1840886111</v>
      </c>
      <c r="I176" s="9">
        <v>-112.940091389</v>
      </c>
      <c r="J176" s="10">
        <v>1376.84</v>
      </c>
      <c r="K176" s="11">
        <v>-2710.003</v>
      </c>
      <c r="L176" s="11">
        <v>-12528.51</v>
      </c>
      <c r="M176" s="11">
        <v>-6.116</v>
      </c>
      <c r="N176" s="11">
        <v>-2710.001</v>
      </c>
      <c r="O176" s="11">
        <v>-12528.499</v>
      </c>
      <c r="P176" s="11">
        <v>-11.726</v>
      </c>
      <c r="Q176" s="11">
        <v>1390.31</v>
      </c>
      <c r="R176" s="11">
        <v>-20.078</v>
      </c>
      <c r="S176" s="12">
        <v>0.89</v>
      </c>
      <c r="T176" s="13">
        <f t="shared" si="1"/>
        <v>1371.122</v>
      </c>
      <c r="U176" s="14">
        <f t="shared" si="2"/>
        <v>5.718</v>
      </c>
      <c r="V176" s="14">
        <f t="shared" si="3"/>
        <v>1.466605128</v>
      </c>
      <c r="W176" s="15" t="str">
        <f t="shared" si="4"/>
        <v/>
      </c>
      <c r="X176" s="11">
        <f t="shared" si="5"/>
        <v>1372.288</v>
      </c>
      <c r="Y176" s="14">
        <f t="shared" si="6"/>
        <v>-1.166</v>
      </c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</row>
    <row r="177">
      <c r="A177" s="7"/>
      <c r="B177" s="7"/>
      <c r="C177" s="7"/>
      <c r="D177" s="7"/>
      <c r="E177" s="7"/>
      <c r="F177" s="7" t="s">
        <v>22</v>
      </c>
      <c r="G177" s="8">
        <v>1007.0</v>
      </c>
      <c r="H177" s="9">
        <v>39.1950644444</v>
      </c>
      <c r="I177" s="9">
        <v>-112.9400925</v>
      </c>
      <c r="J177" s="10">
        <v>1377.95</v>
      </c>
      <c r="K177" s="11">
        <v>-2709.755</v>
      </c>
      <c r="L177" s="11">
        <v>-11309.816</v>
      </c>
      <c r="M177" s="11">
        <v>-2.723</v>
      </c>
      <c r="N177" s="11">
        <v>-2709.753</v>
      </c>
      <c r="O177" s="11">
        <v>-11309.807</v>
      </c>
      <c r="P177" s="11">
        <v>-8.083</v>
      </c>
      <c r="Q177" s="11">
        <v>1391.65</v>
      </c>
      <c r="R177" s="11">
        <v>-20.065</v>
      </c>
      <c r="S177" s="12">
        <v>0.89</v>
      </c>
      <c r="T177" s="13">
        <f t="shared" si="1"/>
        <v>1372.475</v>
      </c>
      <c r="U177" s="14">
        <f t="shared" si="2"/>
        <v>5.475</v>
      </c>
      <c r="V177" s="14">
        <f t="shared" si="3"/>
        <v>1.160957576</v>
      </c>
      <c r="W177" s="15" t="str">
        <f t="shared" si="4"/>
        <v/>
      </c>
      <c r="X177" s="11">
        <f t="shared" si="5"/>
        <v>1373.398</v>
      </c>
      <c r="Y177" s="14">
        <f t="shared" si="6"/>
        <v>-0.923</v>
      </c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</row>
    <row r="178">
      <c r="A178" s="7"/>
      <c r="B178" s="7"/>
      <c r="C178" s="7"/>
      <c r="D178" s="7"/>
      <c r="E178" s="7"/>
      <c r="F178" s="7" t="s">
        <v>22</v>
      </c>
      <c r="G178" s="8">
        <v>1008.0</v>
      </c>
      <c r="H178" s="9">
        <v>39.2057183333</v>
      </c>
      <c r="I178" s="9">
        <v>-112.940084444</v>
      </c>
      <c r="J178" s="10">
        <v>1377.83</v>
      </c>
      <c r="K178" s="11">
        <v>-2708.568</v>
      </c>
      <c r="L178" s="11">
        <v>-10126.762</v>
      </c>
      <c r="M178" s="11">
        <v>-0.849</v>
      </c>
      <c r="N178" s="11">
        <v>-2708.566</v>
      </c>
      <c r="O178" s="11">
        <v>-10126.755</v>
      </c>
      <c r="P178" s="11">
        <v>-5.589</v>
      </c>
      <c r="Q178" s="11">
        <v>1392.14</v>
      </c>
      <c r="R178" s="11">
        <v>-20.052</v>
      </c>
      <c r="S178" s="12">
        <v>0.89</v>
      </c>
      <c r="T178" s="13">
        <f t="shared" si="1"/>
        <v>1372.978</v>
      </c>
      <c r="U178" s="14">
        <f t="shared" si="2"/>
        <v>4.852</v>
      </c>
      <c r="V178" s="14">
        <f t="shared" si="3"/>
        <v>0.3773426573</v>
      </c>
      <c r="W178" s="15" t="str">
        <f t="shared" si="4"/>
        <v/>
      </c>
      <c r="X178" s="11">
        <f t="shared" si="5"/>
        <v>1373.278</v>
      </c>
      <c r="Y178" s="14">
        <f t="shared" si="6"/>
        <v>-0.3</v>
      </c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</row>
    <row r="179">
      <c r="A179" s="7"/>
      <c r="B179" s="7"/>
      <c r="C179" s="7"/>
      <c r="D179" s="7"/>
      <c r="E179" s="7"/>
      <c r="F179" s="7" t="s">
        <v>22</v>
      </c>
      <c r="G179" s="8">
        <v>1009.0</v>
      </c>
      <c r="H179" s="9">
        <v>39.2165155556</v>
      </c>
      <c r="I179" s="9">
        <v>-112.940011667</v>
      </c>
      <c r="J179" s="10">
        <v>1379.64</v>
      </c>
      <c r="K179" s="11">
        <v>-2701.935</v>
      </c>
      <c r="L179" s="11">
        <v>-8927.72</v>
      </c>
      <c r="M179" s="11">
        <v>2.759</v>
      </c>
      <c r="N179" s="11">
        <v>-2701.932</v>
      </c>
      <c r="O179" s="11">
        <v>-8927.713</v>
      </c>
      <c r="P179" s="11">
        <v>-2.091</v>
      </c>
      <c r="Q179" s="11">
        <v>1393.83</v>
      </c>
      <c r="R179" s="11">
        <v>-20.038</v>
      </c>
      <c r="S179" s="12">
        <v>0.89</v>
      </c>
      <c r="T179" s="13">
        <f t="shared" si="1"/>
        <v>1374.682</v>
      </c>
      <c r="U179" s="14">
        <f t="shared" si="2"/>
        <v>4.958</v>
      </c>
      <c r="V179" s="14">
        <f t="shared" si="3"/>
        <v>0.5106703963</v>
      </c>
      <c r="W179" s="15" t="str">
        <f t="shared" si="4"/>
        <v/>
      </c>
      <c r="X179" s="11">
        <f t="shared" si="5"/>
        <v>1375.088</v>
      </c>
      <c r="Y179" s="14">
        <f t="shared" si="6"/>
        <v>-0.406</v>
      </c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</row>
    <row r="180">
      <c r="A180" s="7"/>
      <c r="B180" s="7"/>
      <c r="C180" s="7"/>
      <c r="D180" s="7"/>
      <c r="E180" s="7"/>
      <c r="F180" s="7" t="s">
        <v>22</v>
      </c>
      <c r="G180" s="8">
        <v>1010.0</v>
      </c>
      <c r="H180" s="9">
        <v>39.2273994444</v>
      </c>
      <c r="I180" s="9">
        <v>-112.940071944</v>
      </c>
      <c r="J180" s="10">
        <v>1382.12</v>
      </c>
      <c r="K180" s="11">
        <v>-2706.7</v>
      </c>
      <c r="L180" s="11">
        <v>-7719.233</v>
      </c>
      <c r="M180" s="11">
        <v>6.818</v>
      </c>
      <c r="N180" s="11">
        <v>-2706.699</v>
      </c>
      <c r="O180" s="11">
        <v>-7719.227</v>
      </c>
      <c r="P180" s="11">
        <v>2.428</v>
      </c>
      <c r="Q180" s="11">
        <v>1396.75</v>
      </c>
      <c r="R180" s="11">
        <v>-20.025</v>
      </c>
      <c r="S180" s="12">
        <v>0.89</v>
      </c>
      <c r="T180" s="13">
        <f t="shared" si="1"/>
        <v>1377.615</v>
      </c>
      <c r="U180" s="14">
        <f t="shared" si="2"/>
        <v>4.505</v>
      </c>
      <c r="V180" s="14">
        <f t="shared" si="3"/>
        <v>-0.05911701632</v>
      </c>
      <c r="W180" s="15" t="str">
        <f t="shared" si="4"/>
        <v/>
      </c>
      <c r="X180" s="11">
        <f t="shared" si="5"/>
        <v>1377.568</v>
      </c>
      <c r="Y180" s="14">
        <f t="shared" si="6"/>
        <v>0.047</v>
      </c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</row>
    <row r="181">
      <c r="A181" s="7"/>
      <c r="B181" s="7"/>
      <c r="C181" s="7"/>
      <c r="D181" s="7"/>
      <c r="E181" s="7"/>
      <c r="F181" s="7" t="s">
        <v>22</v>
      </c>
      <c r="G181" s="8">
        <v>1011.0</v>
      </c>
      <c r="H181" s="9">
        <v>39.2381933333</v>
      </c>
      <c r="I181" s="9">
        <v>-112.939985833</v>
      </c>
      <c r="J181" s="10">
        <v>1383.12</v>
      </c>
      <c r="K181" s="11">
        <v>-2698.86</v>
      </c>
      <c r="L181" s="11">
        <v>-6520.627</v>
      </c>
      <c r="M181" s="11">
        <v>9.162</v>
      </c>
      <c r="N181" s="11">
        <v>-2698.858</v>
      </c>
      <c r="O181" s="11">
        <v>-6520.622</v>
      </c>
      <c r="P181" s="11">
        <v>4.292</v>
      </c>
      <c r="Q181" s="11">
        <v>1397.26</v>
      </c>
      <c r="R181" s="11">
        <v>-20.012</v>
      </c>
      <c r="S181" s="12">
        <v>0.89</v>
      </c>
      <c r="T181" s="13">
        <f t="shared" si="1"/>
        <v>1378.138</v>
      </c>
      <c r="U181" s="14">
        <f t="shared" si="2"/>
        <v>4.982</v>
      </c>
      <c r="V181" s="14">
        <f t="shared" si="3"/>
        <v>0.5408578089</v>
      </c>
      <c r="W181" s="15" t="str">
        <f t="shared" si="4"/>
        <v/>
      </c>
      <c r="X181" s="11">
        <f t="shared" si="5"/>
        <v>1378.568</v>
      </c>
      <c r="Y181" s="14">
        <f t="shared" si="6"/>
        <v>-0.43</v>
      </c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</row>
    <row r="182">
      <c r="A182" s="7"/>
      <c r="B182" s="7"/>
      <c r="C182" s="7"/>
      <c r="D182" s="7"/>
      <c r="E182" s="7"/>
      <c r="F182" s="7" t="s">
        <v>22</v>
      </c>
      <c r="G182" s="8">
        <v>1012.0</v>
      </c>
      <c r="H182" s="9">
        <v>39.2489997222</v>
      </c>
      <c r="I182" s="9">
        <v>-112.940089167</v>
      </c>
      <c r="J182" s="10">
        <v>1382.86</v>
      </c>
      <c r="K182" s="11">
        <v>-2707.339</v>
      </c>
      <c r="L182" s="11">
        <v>-5320.569</v>
      </c>
      <c r="M182" s="11">
        <v>10.016</v>
      </c>
      <c r="N182" s="11">
        <v>-2707.337</v>
      </c>
      <c r="O182" s="11">
        <v>-5320.565</v>
      </c>
      <c r="P182" s="11">
        <v>5.416</v>
      </c>
      <c r="Q182" s="11">
        <v>1397.26</v>
      </c>
      <c r="R182" s="11">
        <v>-19.999</v>
      </c>
      <c r="S182" s="12">
        <v>0.89</v>
      </c>
      <c r="T182" s="13">
        <f t="shared" si="1"/>
        <v>1378.151</v>
      </c>
      <c r="U182" s="14">
        <f t="shared" si="2"/>
        <v>4.709</v>
      </c>
      <c r="V182" s="14">
        <f t="shared" si="3"/>
        <v>0.1974759907</v>
      </c>
      <c r="W182" s="15" t="str">
        <f t="shared" si="4"/>
        <v/>
      </c>
      <c r="X182" s="11">
        <f t="shared" si="5"/>
        <v>1378.308</v>
      </c>
      <c r="Y182" s="14">
        <f t="shared" si="6"/>
        <v>-0.157</v>
      </c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</row>
    <row r="183">
      <c r="A183" s="7"/>
      <c r="B183" s="7"/>
      <c r="C183" s="7"/>
      <c r="D183" s="7"/>
      <c r="E183" s="7"/>
      <c r="F183" s="7" t="s">
        <v>22</v>
      </c>
      <c r="G183" s="8">
        <v>1013.0</v>
      </c>
      <c r="H183" s="9">
        <v>39.2598108333</v>
      </c>
      <c r="I183" s="9">
        <v>-112.939975</v>
      </c>
      <c r="J183" s="10">
        <v>1383.31</v>
      </c>
      <c r="K183" s="11">
        <v>-2697.082</v>
      </c>
      <c r="L183" s="11">
        <v>-4120.072</v>
      </c>
      <c r="M183" s="11">
        <v>11.361</v>
      </c>
      <c r="N183" s="11">
        <v>-2697.08</v>
      </c>
      <c r="O183" s="11">
        <v>-4120.069</v>
      </c>
      <c r="P183" s="11">
        <v>7.181</v>
      </c>
      <c r="Q183" s="11">
        <v>1398.11</v>
      </c>
      <c r="R183" s="11">
        <v>-19.985</v>
      </c>
      <c r="S183" s="12">
        <v>0.89</v>
      </c>
      <c r="T183" s="13">
        <f t="shared" si="1"/>
        <v>1379.015</v>
      </c>
      <c r="U183" s="14">
        <f t="shared" si="2"/>
        <v>4.295</v>
      </c>
      <c r="V183" s="14">
        <f t="shared" si="3"/>
        <v>-0.3232568765</v>
      </c>
      <c r="W183" s="15" t="str">
        <f t="shared" si="4"/>
        <v/>
      </c>
      <c r="X183" s="11">
        <f t="shared" si="5"/>
        <v>1378.758</v>
      </c>
      <c r="Y183" s="14">
        <f t="shared" si="6"/>
        <v>0.257</v>
      </c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</row>
    <row r="184">
      <c r="A184" s="7"/>
      <c r="B184" s="7"/>
      <c r="C184" s="7"/>
      <c r="D184" s="7"/>
      <c r="E184" s="7"/>
      <c r="F184" s="7" t="s">
        <v>22</v>
      </c>
      <c r="G184" s="8">
        <v>1014.0</v>
      </c>
      <c r="H184" s="9">
        <v>39.2706169444</v>
      </c>
      <c r="I184" s="9">
        <v>-112.939965833</v>
      </c>
      <c r="J184" s="10">
        <v>1384.01</v>
      </c>
      <c r="K184" s="11">
        <v>-2695.891</v>
      </c>
      <c r="L184" s="11">
        <v>-2920.123</v>
      </c>
      <c r="M184" s="11">
        <v>12.725</v>
      </c>
      <c r="N184" s="11">
        <v>-2695.889</v>
      </c>
      <c r="O184" s="11">
        <v>-2920.121</v>
      </c>
      <c r="P184" s="11">
        <v>8.185</v>
      </c>
      <c r="Q184" s="11">
        <v>1398.44</v>
      </c>
      <c r="R184" s="11">
        <v>-19.971</v>
      </c>
      <c r="S184" s="12">
        <v>0.89</v>
      </c>
      <c r="T184" s="13">
        <f t="shared" si="1"/>
        <v>1379.359</v>
      </c>
      <c r="U184" s="14">
        <f t="shared" si="2"/>
        <v>4.651</v>
      </c>
      <c r="V184" s="14">
        <f t="shared" si="3"/>
        <v>0.1245230769</v>
      </c>
      <c r="W184" s="15" t="str">
        <f t="shared" si="4"/>
        <v/>
      </c>
      <c r="X184" s="11">
        <f t="shared" si="5"/>
        <v>1379.458</v>
      </c>
      <c r="Y184" s="14">
        <f t="shared" si="6"/>
        <v>-0.099</v>
      </c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</row>
    <row r="185">
      <c r="A185" s="7"/>
      <c r="B185" s="7"/>
      <c r="C185" s="7"/>
      <c r="D185" s="7"/>
      <c r="E185" s="7"/>
      <c r="F185" s="7" t="s">
        <v>22</v>
      </c>
      <c r="G185" s="8">
        <v>1015.0</v>
      </c>
      <c r="H185" s="9">
        <v>39.2814572222</v>
      </c>
      <c r="I185" s="9">
        <v>-112.939891944</v>
      </c>
      <c r="J185" s="10">
        <v>1390.07</v>
      </c>
      <c r="K185" s="11">
        <v>-2689.092</v>
      </c>
      <c r="L185" s="11">
        <v>-1716.401</v>
      </c>
      <c r="M185" s="11">
        <v>19.226</v>
      </c>
      <c r="N185" s="11">
        <v>-2689.09</v>
      </c>
      <c r="O185" s="11">
        <v>-1716.399</v>
      </c>
      <c r="P185" s="11">
        <v>13.706</v>
      </c>
      <c r="Q185" s="11">
        <v>1403.51</v>
      </c>
      <c r="R185" s="11">
        <v>-19.956</v>
      </c>
      <c r="S185" s="12">
        <v>0.89</v>
      </c>
      <c r="T185" s="13">
        <f t="shared" si="1"/>
        <v>1384.444</v>
      </c>
      <c r="U185" s="14">
        <f t="shared" si="2"/>
        <v>5.626</v>
      </c>
      <c r="V185" s="14">
        <f t="shared" si="3"/>
        <v>1.350886713</v>
      </c>
      <c r="W185" s="15" t="str">
        <f t="shared" si="4"/>
        <v/>
      </c>
      <c r="X185" s="11">
        <f t="shared" si="5"/>
        <v>1385.518</v>
      </c>
      <c r="Y185" s="14">
        <f t="shared" si="6"/>
        <v>-1.074</v>
      </c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</row>
    <row r="186">
      <c r="A186" s="7"/>
      <c r="B186" s="7"/>
      <c r="C186" s="7"/>
      <c r="D186" s="7"/>
      <c r="E186" s="7"/>
      <c r="F186" s="7" t="s">
        <v>22</v>
      </c>
      <c r="G186" s="8">
        <v>1016.0</v>
      </c>
      <c r="H186" s="9">
        <v>39.2922980556</v>
      </c>
      <c r="I186" s="9">
        <v>-112.939888056</v>
      </c>
      <c r="J186" s="10">
        <v>1390.06</v>
      </c>
      <c r="K186" s="11">
        <v>-2688.332</v>
      </c>
      <c r="L186" s="11">
        <v>-512.56</v>
      </c>
      <c r="M186" s="11">
        <v>19.428</v>
      </c>
      <c r="N186" s="11">
        <v>-2688.33</v>
      </c>
      <c r="O186" s="11">
        <v>-512.559</v>
      </c>
      <c r="P186" s="11">
        <v>13.768</v>
      </c>
      <c r="Q186" s="11">
        <v>1403.34</v>
      </c>
      <c r="R186" s="11">
        <v>-19.942</v>
      </c>
      <c r="S186" s="12">
        <v>0.89</v>
      </c>
      <c r="T186" s="13">
        <f t="shared" si="1"/>
        <v>1384.288</v>
      </c>
      <c r="U186" s="14">
        <f t="shared" si="2"/>
        <v>5.772</v>
      </c>
      <c r="V186" s="14">
        <f t="shared" si="3"/>
        <v>1.534526807</v>
      </c>
      <c r="W186" s="15" t="str">
        <f t="shared" si="4"/>
        <v/>
      </c>
      <c r="X186" s="11">
        <f t="shared" si="5"/>
        <v>1385.508</v>
      </c>
      <c r="Y186" s="14">
        <f t="shared" si="6"/>
        <v>-1.22</v>
      </c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</row>
    <row r="187">
      <c r="A187" s="7"/>
      <c r="B187" s="7"/>
      <c r="C187" s="7"/>
      <c r="D187" s="7"/>
      <c r="E187" s="7"/>
      <c r="F187" s="7" t="s">
        <v>22</v>
      </c>
      <c r="G187" s="8">
        <v>1017.0</v>
      </c>
      <c r="H187" s="9">
        <v>39.3030105556</v>
      </c>
      <c r="I187" s="9">
        <v>-112.939900833</v>
      </c>
      <c r="J187" s="10">
        <v>1387.69</v>
      </c>
      <c r="K187" s="11">
        <v>-2689.043</v>
      </c>
      <c r="L187" s="11">
        <v>677.07</v>
      </c>
      <c r="M187" s="11">
        <v>17.042</v>
      </c>
      <c r="N187" s="11">
        <v>-2689.041</v>
      </c>
      <c r="O187" s="11">
        <v>677.07</v>
      </c>
      <c r="P187" s="11">
        <v>12.862</v>
      </c>
      <c r="Q187" s="11">
        <v>1402.44</v>
      </c>
      <c r="R187" s="11">
        <v>-19.927</v>
      </c>
      <c r="S187" s="12">
        <v>0.89</v>
      </c>
      <c r="T187" s="13">
        <f t="shared" si="1"/>
        <v>1383.403</v>
      </c>
      <c r="U187" s="14">
        <f t="shared" si="2"/>
        <v>4.287</v>
      </c>
      <c r="V187" s="14">
        <f t="shared" si="3"/>
        <v>-0.3333193473</v>
      </c>
      <c r="W187" s="15" t="str">
        <f t="shared" si="4"/>
        <v/>
      </c>
      <c r="X187" s="11">
        <f t="shared" si="5"/>
        <v>1383.138</v>
      </c>
      <c r="Y187" s="14">
        <f t="shared" si="6"/>
        <v>0.265</v>
      </c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</row>
    <row r="188">
      <c r="A188" s="7"/>
      <c r="B188" s="7"/>
      <c r="C188" s="7"/>
      <c r="D188" s="7"/>
      <c r="E188" s="7"/>
      <c r="F188" s="7" t="s">
        <v>22</v>
      </c>
      <c r="G188" s="8">
        <v>1018.0</v>
      </c>
      <c r="H188" s="9">
        <v>39.3138133333</v>
      </c>
      <c r="I188" s="9">
        <v>-112.939895833</v>
      </c>
      <c r="J188" s="10">
        <v>1386.37</v>
      </c>
      <c r="K188" s="11">
        <v>-2688.198</v>
      </c>
      <c r="L188" s="11">
        <v>1876.584</v>
      </c>
      <c r="M188" s="11">
        <v>15.482</v>
      </c>
      <c r="N188" s="11">
        <v>-2688.196</v>
      </c>
      <c r="O188" s="11">
        <v>1876.583</v>
      </c>
      <c r="P188" s="11">
        <v>11.292</v>
      </c>
      <c r="Q188" s="11">
        <v>1401.09</v>
      </c>
      <c r="R188" s="11">
        <v>-19.911</v>
      </c>
      <c r="S188" s="12">
        <v>0.89</v>
      </c>
      <c r="T188" s="13">
        <f t="shared" si="1"/>
        <v>1382.069</v>
      </c>
      <c r="U188" s="14">
        <f t="shared" si="2"/>
        <v>4.301</v>
      </c>
      <c r="V188" s="14">
        <f t="shared" si="3"/>
        <v>-0.3157100233</v>
      </c>
      <c r="W188" s="15" t="str">
        <f t="shared" si="4"/>
        <v/>
      </c>
      <c r="X188" s="11">
        <f t="shared" si="5"/>
        <v>1381.818</v>
      </c>
      <c r="Y188" s="14">
        <f t="shared" si="6"/>
        <v>0.251</v>
      </c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</row>
    <row r="189">
      <c r="A189" s="7"/>
      <c r="B189" s="7"/>
      <c r="C189" s="7"/>
      <c r="D189" s="7"/>
      <c r="E189" s="7"/>
      <c r="F189" s="7" t="s">
        <v>22</v>
      </c>
      <c r="G189" s="8">
        <v>1019.0</v>
      </c>
      <c r="H189" s="9">
        <v>39.3247022222</v>
      </c>
      <c r="I189" s="9">
        <v>-112.939834167</v>
      </c>
      <c r="J189" s="10">
        <v>1386.05</v>
      </c>
      <c r="K189" s="11">
        <v>-2682.434</v>
      </c>
      <c r="L189" s="11">
        <v>3085.759</v>
      </c>
      <c r="M189" s="11">
        <v>14.693</v>
      </c>
      <c r="N189" s="11">
        <v>-2682.432</v>
      </c>
      <c r="O189" s="11">
        <v>3085.757</v>
      </c>
      <c r="P189" s="11">
        <v>9.973</v>
      </c>
      <c r="Q189" s="11">
        <v>1400.22</v>
      </c>
      <c r="R189" s="11">
        <v>-19.893</v>
      </c>
      <c r="S189" s="12">
        <v>0.89</v>
      </c>
      <c r="T189" s="13">
        <f t="shared" si="1"/>
        <v>1381.217</v>
      </c>
      <c r="U189" s="14">
        <f t="shared" si="2"/>
        <v>4.833</v>
      </c>
      <c r="V189" s="14">
        <f t="shared" si="3"/>
        <v>0.353444289</v>
      </c>
      <c r="W189" s="15" t="str">
        <f t="shared" si="4"/>
        <v/>
      </c>
      <c r="X189" s="11">
        <f t="shared" si="5"/>
        <v>1381.498</v>
      </c>
      <c r="Y189" s="14">
        <f t="shared" si="6"/>
        <v>-0.281</v>
      </c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</row>
    <row r="190">
      <c r="A190" s="7"/>
      <c r="B190" s="7"/>
      <c r="C190" s="7"/>
      <c r="D190" s="7"/>
      <c r="E190" s="7"/>
      <c r="F190" s="7" t="s">
        <v>22</v>
      </c>
      <c r="G190" s="8">
        <v>1020.0</v>
      </c>
      <c r="H190" s="9">
        <v>39.3354958333</v>
      </c>
      <c r="I190" s="9">
        <v>-112.939885556</v>
      </c>
      <c r="J190" s="10">
        <v>1392.11</v>
      </c>
      <c r="K190" s="11">
        <v>-2686.508</v>
      </c>
      <c r="L190" s="11">
        <v>4284.395</v>
      </c>
      <c r="M190" s="11">
        <v>20.057</v>
      </c>
      <c r="N190" s="11">
        <v>-2686.506</v>
      </c>
      <c r="O190" s="11">
        <v>4284.392</v>
      </c>
      <c r="P190" s="11">
        <v>15.497</v>
      </c>
      <c r="Q190" s="11">
        <v>1406.42</v>
      </c>
      <c r="R190" s="11">
        <v>-19.873</v>
      </c>
      <c r="S190" s="12">
        <v>0.89</v>
      </c>
      <c r="T190" s="13">
        <f t="shared" si="1"/>
        <v>1387.437</v>
      </c>
      <c r="U190" s="14">
        <f t="shared" si="2"/>
        <v>4.673</v>
      </c>
      <c r="V190" s="14">
        <f t="shared" si="3"/>
        <v>0.1521948718</v>
      </c>
      <c r="W190" s="15" t="str">
        <f t="shared" si="4"/>
        <v/>
      </c>
      <c r="X190" s="11">
        <f t="shared" si="5"/>
        <v>1387.558</v>
      </c>
      <c r="Y190" s="14">
        <f t="shared" si="6"/>
        <v>-0.121</v>
      </c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</row>
    <row r="191">
      <c r="A191" s="7"/>
      <c r="B191" s="7"/>
      <c r="C191" s="7"/>
      <c r="D191" s="7"/>
      <c r="E191" s="7"/>
      <c r="F191" s="7" t="s">
        <v>22</v>
      </c>
      <c r="G191" s="8">
        <v>1021.0</v>
      </c>
      <c r="H191" s="9">
        <v>39.3463380556</v>
      </c>
      <c r="I191" s="9">
        <v>-112.9398825</v>
      </c>
      <c r="J191" s="10">
        <v>1407.99</v>
      </c>
      <c r="K191" s="11">
        <v>-2685.841</v>
      </c>
      <c r="L191" s="11">
        <v>5488.372</v>
      </c>
      <c r="M191" s="11">
        <v>35.012</v>
      </c>
      <c r="N191" s="11">
        <v>-2685.839</v>
      </c>
      <c r="O191" s="11">
        <v>5488.368</v>
      </c>
      <c r="P191" s="11">
        <v>30.082</v>
      </c>
      <c r="Q191" s="11">
        <v>1421.91</v>
      </c>
      <c r="R191" s="11">
        <v>-19.849</v>
      </c>
      <c r="S191" s="12">
        <v>0.89</v>
      </c>
      <c r="T191" s="13">
        <f t="shared" si="1"/>
        <v>1402.951</v>
      </c>
      <c r="U191" s="14">
        <f t="shared" si="2"/>
        <v>5.039</v>
      </c>
      <c r="V191" s="14">
        <f t="shared" si="3"/>
        <v>0.6125529138</v>
      </c>
      <c r="W191" s="15" t="str">
        <f t="shared" si="4"/>
        <v/>
      </c>
      <c r="X191" s="11">
        <f t="shared" si="5"/>
        <v>1403.438</v>
      </c>
      <c r="Y191" s="14">
        <f t="shared" si="6"/>
        <v>-0.487</v>
      </c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</row>
    <row r="192">
      <c r="A192" s="7"/>
      <c r="B192" s="7"/>
      <c r="C192" s="7"/>
      <c r="D192" s="7"/>
      <c r="E192" s="7"/>
      <c r="F192" s="7" t="s">
        <v>22</v>
      </c>
      <c r="G192" s="8">
        <v>1022.0</v>
      </c>
      <c r="H192" s="9">
        <v>39.3570747222</v>
      </c>
      <c r="I192" s="9">
        <v>-112.939811944</v>
      </c>
      <c r="J192" s="10">
        <v>1416.69</v>
      </c>
      <c r="K192" s="11">
        <v>-2679.313</v>
      </c>
      <c r="L192" s="11">
        <v>6680.688</v>
      </c>
      <c r="M192" s="11">
        <v>42.575</v>
      </c>
      <c r="N192" s="11">
        <v>-2679.311</v>
      </c>
      <c r="O192" s="11">
        <v>6680.683</v>
      </c>
      <c r="P192" s="11">
        <v>38.415</v>
      </c>
      <c r="Q192" s="11">
        <v>1431.35</v>
      </c>
      <c r="R192" s="11">
        <v>-19.822</v>
      </c>
      <c r="S192" s="12">
        <v>0.89</v>
      </c>
      <c r="T192" s="13">
        <f t="shared" si="1"/>
        <v>1412.418</v>
      </c>
      <c r="U192" s="14">
        <f t="shared" si="2"/>
        <v>4.272</v>
      </c>
      <c r="V192" s="14">
        <f t="shared" si="3"/>
        <v>-0.3521864802</v>
      </c>
      <c r="W192" s="15" t="str">
        <f t="shared" si="4"/>
        <v/>
      </c>
      <c r="X192" s="11">
        <f t="shared" si="5"/>
        <v>1412.138</v>
      </c>
      <c r="Y192" s="14">
        <f t="shared" si="6"/>
        <v>0.28</v>
      </c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</row>
    <row r="193">
      <c r="A193" s="7"/>
      <c r="B193" s="7"/>
      <c r="C193" s="7"/>
      <c r="D193" s="7"/>
      <c r="E193" s="7"/>
      <c r="F193" s="7" t="s">
        <v>22</v>
      </c>
      <c r="G193" s="8">
        <v>1023.0</v>
      </c>
      <c r="H193" s="9">
        <v>39.3678619444</v>
      </c>
      <c r="I193" s="9">
        <v>-112.940019722</v>
      </c>
      <c r="J193" s="10">
        <v>1434.89</v>
      </c>
      <c r="K193" s="11">
        <v>-2696.837</v>
      </c>
      <c r="L193" s="11">
        <v>7878.581</v>
      </c>
      <c r="M193" s="11">
        <v>59.397</v>
      </c>
      <c r="N193" s="11">
        <v>-2696.835</v>
      </c>
      <c r="O193" s="11">
        <v>7878.575</v>
      </c>
      <c r="P193" s="11">
        <v>54.927</v>
      </c>
      <c r="Q193" s="11">
        <v>1449.21</v>
      </c>
      <c r="R193" s="11">
        <v>-19.793</v>
      </c>
      <c r="S193" s="12">
        <v>0.89</v>
      </c>
      <c r="T193" s="13">
        <f t="shared" si="1"/>
        <v>1430.307</v>
      </c>
      <c r="U193" s="14">
        <f t="shared" si="2"/>
        <v>4.583</v>
      </c>
      <c r="V193" s="14">
        <f t="shared" si="3"/>
        <v>0.03899207459</v>
      </c>
      <c r="W193" s="15" t="str">
        <f t="shared" si="4"/>
        <v/>
      </c>
      <c r="X193" s="11">
        <f t="shared" si="5"/>
        <v>1430.338</v>
      </c>
      <c r="Y193" s="14">
        <f t="shared" si="6"/>
        <v>-0.031</v>
      </c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</row>
    <row r="194">
      <c r="A194" s="7"/>
      <c r="B194" s="7"/>
      <c r="C194" s="7"/>
      <c r="D194" s="7"/>
      <c r="E194" s="7"/>
      <c r="F194" s="7" t="s">
        <v>22</v>
      </c>
      <c r="G194" s="8">
        <v>1024.0</v>
      </c>
      <c r="H194" s="9">
        <v>39.3787388889</v>
      </c>
      <c r="I194" s="9">
        <v>-112.939793889</v>
      </c>
      <c r="J194" s="10">
        <v>1445.35</v>
      </c>
      <c r="K194" s="11">
        <v>-2676.946</v>
      </c>
      <c r="L194" s="11">
        <v>9086.453</v>
      </c>
      <c r="M194" s="11">
        <v>68.255</v>
      </c>
      <c r="N194" s="11">
        <v>-2676.944</v>
      </c>
      <c r="O194" s="11">
        <v>9086.448</v>
      </c>
      <c r="P194" s="11">
        <v>64.505</v>
      </c>
      <c r="Q194" s="11">
        <v>1460.36</v>
      </c>
      <c r="R194" s="11">
        <v>-19.764</v>
      </c>
      <c r="S194" s="12">
        <v>0.89</v>
      </c>
      <c r="T194" s="13">
        <f t="shared" si="1"/>
        <v>1441.486</v>
      </c>
      <c r="U194" s="14">
        <f t="shared" si="2"/>
        <v>3.864</v>
      </c>
      <c r="V194" s="14">
        <f t="shared" si="3"/>
        <v>-0.8653724942</v>
      </c>
      <c r="W194" s="15" t="str">
        <f t="shared" si="4"/>
        <v/>
      </c>
      <c r="X194" s="11">
        <f t="shared" si="5"/>
        <v>1440.798</v>
      </c>
      <c r="Y194" s="14">
        <f t="shared" si="6"/>
        <v>0.688</v>
      </c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</row>
    <row r="195">
      <c r="A195" s="7"/>
      <c r="B195" s="7"/>
      <c r="C195" s="7"/>
      <c r="D195" s="7"/>
      <c r="E195" s="7"/>
      <c r="F195" s="7" t="s">
        <v>22</v>
      </c>
      <c r="G195" s="8">
        <v>1025.0</v>
      </c>
      <c r="H195" s="9">
        <v>39.3895277778</v>
      </c>
      <c r="I195" s="9">
        <v>-112.939886667</v>
      </c>
      <c r="J195" s="10">
        <v>1453.96</v>
      </c>
      <c r="K195" s="11">
        <v>-2684.551</v>
      </c>
      <c r="L195" s="11">
        <v>10284.566</v>
      </c>
      <c r="M195" s="11">
        <v>75.038</v>
      </c>
      <c r="N195" s="11">
        <v>-2684.549</v>
      </c>
      <c r="O195" s="11">
        <v>10284.559</v>
      </c>
      <c r="P195" s="11">
        <v>70.998</v>
      </c>
      <c r="Q195" s="11">
        <v>1468.65</v>
      </c>
      <c r="R195" s="11">
        <v>-19.734</v>
      </c>
      <c r="S195" s="12">
        <v>0.89</v>
      </c>
      <c r="T195" s="13">
        <f t="shared" si="1"/>
        <v>1449.806</v>
      </c>
      <c r="U195" s="14">
        <f t="shared" si="2"/>
        <v>4.154</v>
      </c>
      <c r="V195" s="14">
        <f t="shared" si="3"/>
        <v>-0.5006079254</v>
      </c>
      <c r="W195" s="15" t="str">
        <f t="shared" si="4"/>
        <v/>
      </c>
      <c r="X195" s="11">
        <f t="shared" si="5"/>
        <v>1449.408</v>
      </c>
      <c r="Y195" s="14">
        <f t="shared" si="6"/>
        <v>0.398</v>
      </c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</row>
    <row r="196">
      <c r="A196" s="7"/>
      <c r="B196" s="7"/>
      <c r="C196" s="7"/>
      <c r="D196" s="7"/>
      <c r="E196" s="7"/>
      <c r="F196" s="7" t="s">
        <v>31</v>
      </c>
      <c r="G196" s="8">
        <v>1027.0</v>
      </c>
      <c r="H196" s="9">
        <v>39.410223333333334</v>
      </c>
      <c r="I196" s="9">
        <v>-112.94093638888889</v>
      </c>
      <c r="J196" s="13">
        <v>1475.13</v>
      </c>
      <c r="K196" s="10">
        <v>-2774.132</v>
      </c>
      <c r="L196" s="10">
        <v>12582.784</v>
      </c>
      <c r="M196" s="10">
        <v>92.04</v>
      </c>
      <c r="N196" s="10">
        <v>-2774.13</v>
      </c>
      <c r="O196" s="10">
        <v>12582.775</v>
      </c>
      <c r="P196" s="10">
        <v>87.53</v>
      </c>
      <c r="Q196" s="13">
        <v>1489.3</v>
      </c>
      <c r="R196" s="13">
        <v>-19.679</v>
      </c>
      <c r="S196" s="12">
        <v>0.89</v>
      </c>
      <c r="T196" s="13">
        <f t="shared" si="1"/>
        <v>1470.511</v>
      </c>
      <c r="U196" s="14">
        <f t="shared" si="2"/>
        <v>4.619</v>
      </c>
      <c r="V196" s="14">
        <f t="shared" si="3"/>
        <v>0.08427319347</v>
      </c>
      <c r="W196" s="15" t="str">
        <f t="shared" si="4"/>
        <v/>
      </c>
      <c r="X196" s="11">
        <f t="shared" si="5"/>
        <v>1470.578</v>
      </c>
      <c r="Y196" s="14">
        <f t="shared" si="6"/>
        <v>-0.067</v>
      </c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</row>
    <row r="197">
      <c r="A197" s="7"/>
      <c r="B197" s="7"/>
      <c r="C197" s="7"/>
      <c r="D197" s="7"/>
      <c r="E197" s="7"/>
      <c r="F197" s="7" t="s">
        <v>31</v>
      </c>
      <c r="G197" s="8">
        <v>1028.0</v>
      </c>
      <c r="H197" s="9">
        <v>39.42261777777778</v>
      </c>
      <c r="I197" s="9">
        <v>-112.94005583333333</v>
      </c>
      <c r="J197" s="13">
        <v>1484.35</v>
      </c>
      <c r="K197" s="10">
        <v>-2697.851</v>
      </c>
      <c r="L197" s="10">
        <v>13959.23</v>
      </c>
      <c r="M197" s="10">
        <v>98.421</v>
      </c>
      <c r="N197" s="10">
        <v>-2697.849</v>
      </c>
      <c r="O197" s="10">
        <v>13959.219</v>
      </c>
      <c r="P197" s="10">
        <v>93.621</v>
      </c>
      <c r="Q197" s="13">
        <v>1498.2</v>
      </c>
      <c r="R197" s="13">
        <v>-19.649</v>
      </c>
      <c r="S197" s="12">
        <v>0.89</v>
      </c>
      <c r="T197" s="13">
        <f t="shared" si="1"/>
        <v>1479.441</v>
      </c>
      <c r="U197" s="14">
        <f t="shared" si="2"/>
        <v>4.909</v>
      </c>
      <c r="V197" s="14">
        <f t="shared" si="3"/>
        <v>0.4490377622</v>
      </c>
      <c r="W197" s="15" t="str">
        <f t="shared" si="4"/>
        <v/>
      </c>
      <c r="X197" s="11">
        <f t="shared" si="5"/>
        <v>1479.798</v>
      </c>
      <c r="Y197" s="14">
        <f t="shared" si="6"/>
        <v>-0.357</v>
      </c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</row>
    <row r="198">
      <c r="A198" s="7"/>
      <c r="B198" s="7"/>
      <c r="C198" s="7"/>
      <c r="D198" s="7"/>
      <c r="E198" s="7"/>
      <c r="F198" s="7" t="s">
        <v>31</v>
      </c>
      <c r="G198" s="8">
        <v>1029.0</v>
      </c>
      <c r="H198" s="9">
        <v>39.431913333333334</v>
      </c>
      <c r="I198" s="9">
        <v>-112.94465777777778</v>
      </c>
      <c r="J198" s="13">
        <v>1504.03</v>
      </c>
      <c r="K198" s="10">
        <v>-3093.814</v>
      </c>
      <c r="L198" s="10">
        <v>14991.626</v>
      </c>
      <c r="M198" s="10">
        <v>115.573</v>
      </c>
      <c r="N198" s="10">
        <v>-3093.812</v>
      </c>
      <c r="O198" s="10">
        <v>14991.614</v>
      </c>
      <c r="P198" s="10">
        <v>110.523</v>
      </c>
      <c r="Q198" s="13">
        <v>1517.6</v>
      </c>
      <c r="R198" s="13">
        <v>-19.621</v>
      </c>
      <c r="S198" s="12">
        <v>0.89</v>
      </c>
      <c r="T198" s="13">
        <f t="shared" si="1"/>
        <v>1498.869</v>
      </c>
      <c r="U198" s="14">
        <f t="shared" si="2"/>
        <v>5.161</v>
      </c>
      <c r="V198" s="14">
        <f t="shared" si="3"/>
        <v>0.7660055944</v>
      </c>
      <c r="W198" s="15" t="str">
        <f t="shared" si="4"/>
        <v/>
      </c>
      <c r="X198" s="11">
        <f t="shared" si="5"/>
        <v>1499.478</v>
      </c>
      <c r="Y198" s="14">
        <f t="shared" si="6"/>
        <v>-0.609</v>
      </c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</row>
    <row r="199">
      <c r="A199" s="7"/>
      <c r="B199" s="7"/>
      <c r="C199" s="7"/>
      <c r="D199" s="7"/>
      <c r="E199" s="7"/>
      <c r="F199" s="7" t="s">
        <v>22</v>
      </c>
      <c r="G199" s="8">
        <v>1101.0</v>
      </c>
      <c r="H199" s="9">
        <v>39.1300116667</v>
      </c>
      <c r="I199" s="9">
        <v>-112.926258611</v>
      </c>
      <c r="J199" s="10">
        <v>1371.8</v>
      </c>
      <c r="K199" s="11">
        <v>-1515.799</v>
      </c>
      <c r="L199" s="11">
        <v>-18533.646</v>
      </c>
      <c r="M199" s="11">
        <v>-25.42</v>
      </c>
      <c r="N199" s="11">
        <v>-1515.798</v>
      </c>
      <c r="O199" s="11">
        <v>-18533.633</v>
      </c>
      <c r="P199" s="11">
        <v>-29.84</v>
      </c>
      <c r="Q199" s="11">
        <v>1386.47</v>
      </c>
      <c r="R199" s="11">
        <v>-20.094</v>
      </c>
      <c r="S199" s="12">
        <v>0.89</v>
      </c>
      <c r="T199" s="13">
        <f t="shared" si="1"/>
        <v>1367.266</v>
      </c>
      <c r="U199" s="14">
        <f t="shared" si="2"/>
        <v>4.534</v>
      </c>
      <c r="V199" s="14">
        <f t="shared" si="3"/>
        <v>-0.02264055944</v>
      </c>
      <c r="W199" s="15" t="str">
        <f t="shared" si="4"/>
        <v/>
      </c>
      <c r="X199" s="11">
        <f t="shared" si="5"/>
        <v>1367.248</v>
      </c>
      <c r="Y199" s="14">
        <f t="shared" si="6"/>
        <v>0.018</v>
      </c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</row>
    <row r="200">
      <c r="A200" s="7"/>
      <c r="B200" s="7"/>
      <c r="C200" s="7"/>
      <c r="D200" s="7"/>
      <c r="E200" s="7"/>
      <c r="F200" s="7" t="s">
        <v>22</v>
      </c>
      <c r="G200" s="8">
        <v>1102.0</v>
      </c>
      <c r="H200" s="9">
        <v>39.139075</v>
      </c>
      <c r="I200" s="9">
        <v>-112.928409444</v>
      </c>
      <c r="J200" s="10">
        <v>1373.11</v>
      </c>
      <c r="K200" s="11">
        <v>-1701.526</v>
      </c>
      <c r="L200" s="11">
        <v>-17527.242</v>
      </c>
      <c r="M200" s="11">
        <v>-21.305</v>
      </c>
      <c r="N200" s="11">
        <v>-1701.525</v>
      </c>
      <c r="O200" s="11">
        <v>-17527.227</v>
      </c>
      <c r="P200" s="11">
        <v>-26.845</v>
      </c>
      <c r="Q200" s="11">
        <v>1386.67</v>
      </c>
      <c r="R200" s="11">
        <v>-20.096</v>
      </c>
      <c r="S200" s="12">
        <v>0.89</v>
      </c>
      <c r="T200" s="13">
        <f t="shared" si="1"/>
        <v>1367.464</v>
      </c>
      <c r="U200" s="14">
        <f t="shared" si="2"/>
        <v>5.646</v>
      </c>
      <c r="V200" s="14">
        <f t="shared" si="3"/>
        <v>1.37604289</v>
      </c>
      <c r="W200" s="15" t="str">
        <f t="shared" si="4"/>
        <v/>
      </c>
      <c r="X200" s="11">
        <f t="shared" si="5"/>
        <v>1368.558</v>
      </c>
      <c r="Y200" s="14">
        <f t="shared" si="6"/>
        <v>-1.094</v>
      </c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</row>
    <row r="201">
      <c r="A201" s="7"/>
      <c r="B201" s="7"/>
      <c r="C201" s="7"/>
      <c r="D201" s="7"/>
      <c r="E201" s="7"/>
      <c r="F201" s="7" t="s">
        <v>22</v>
      </c>
      <c r="G201" s="8">
        <v>1103.0</v>
      </c>
      <c r="H201" s="9">
        <v>39.1516961111</v>
      </c>
      <c r="I201" s="9">
        <v>-112.926264444</v>
      </c>
      <c r="J201" s="10">
        <v>1373.43</v>
      </c>
      <c r="K201" s="11">
        <v>-1515.767</v>
      </c>
      <c r="L201" s="11">
        <v>-16125.822</v>
      </c>
      <c r="M201" s="11">
        <v>-17.232</v>
      </c>
      <c r="N201" s="11">
        <v>-1515.765</v>
      </c>
      <c r="O201" s="11">
        <v>-16125.81</v>
      </c>
      <c r="P201" s="11">
        <v>-21.882</v>
      </c>
      <c r="Q201" s="11">
        <v>1387.87</v>
      </c>
      <c r="R201" s="11">
        <v>-20.087</v>
      </c>
      <c r="S201" s="12">
        <v>0.89</v>
      </c>
      <c r="T201" s="13">
        <f t="shared" si="1"/>
        <v>1368.673</v>
      </c>
      <c r="U201" s="14">
        <f t="shared" si="2"/>
        <v>4.757</v>
      </c>
      <c r="V201" s="14">
        <f t="shared" si="3"/>
        <v>0.2578508159</v>
      </c>
      <c r="W201" s="15" t="str">
        <f t="shared" si="4"/>
        <v/>
      </c>
      <c r="X201" s="11">
        <f t="shared" si="5"/>
        <v>1368.878</v>
      </c>
      <c r="Y201" s="14">
        <f t="shared" si="6"/>
        <v>-0.205</v>
      </c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</row>
    <row r="202">
      <c r="A202" s="7"/>
      <c r="B202" s="7"/>
      <c r="C202" s="7"/>
      <c r="D202" s="7"/>
      <c r="E202" s="7"/>
      <c r="F202" s="7" t="s">
        <v>22</v>
      </c>
      <c r="G202" s="8">
        <v>1104.0</v>
      </c>
      <c r="H202" s="9">
        <v>39.1624502778</v>
      </c>
      <c r="I202" s="9">
        <v>-112.926242778</v>
      </c>
      <c r="J202" s="10">
        <v>1372.61</v>
      </c>
      <c r="K202" s="11">
        <v>-1513.72</v>
      </c>
      <c r="L202" s="11">
        <v>-14931.674</v>
      </c>
      <c r="M202" s="11">
        <v>-15.137</v>
      </c>
      <c r="N202" s="11">
        <v>-1513.719</v>
      </c>
      <c r="O202" s="11">
        <v>-14931.663</v>
      </c>
      <c r="P202" s="11">
        <v>-19.617</v>
      </c>
      <c r="Q202" s="11">
        <v>1387.21</v>
      </c>
      <c r="R202" s="11">
        <v>-20.079</v>
      </c>
      <c r="S202" s="12">
        <v>0.89</v>
      </c>
      <c r="T202" s="13">
        <f t="shared" si="1"/>
        <v>1368.021</v>
      </c>
      <c r="U202" s="14">
        <f t="shared" si="2"/>
        <v>4.589</v>
      </c>
      <c r="V202" s="14">
        <f t="shared" si="3"/>
        <v>0.04653892774</v>
      </c>
      <c r="W202" s="15" t="str">
        <f t="shared" si="4"/>
        <v/>
      </c>
      <c r="X202" s="11">
        <f t="shared" si="5"/>
        <v>1368.058</v>
      </c>
      <c r="Y202" s="14">
        <f t="shared" si="6"/>
        <v>-0.037</v>
      </c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</row>
    <row r="203">
      <c r="A203" s="7"/>
      <c r="B203" s="7"/>
      <c r="C203" s="7"/>
      <c r="D203" s="7"/>
      <c r="E203" s="7"/>
      <c r="F203" s="7" t="s">
        <v>22</v>
      </c>
      <c r="G203" s="8">
        <v>1105.0</v>
      </c>
      <c r="H203" s="9">
        <v>39.1733511111</v>
      </c>
      <c r="I203" s="9">
        <v>-112.926298056</v>
      </c>
      <c r="J203" s="10">
        <v>1372.96</v>
      </c>
      <c r="K203" s="11">
        <v>-1518.241</v>
      </c>
      <c r="L203" s="11">
        <v>-13721.201</v>
      </c>
      <c r="M203" s="11">
        <v>-12.062</v>
      </c>
      <c r="N203" s="11">
        <v>-1518.239</v>
      </c>
      <c r="O203" s="11">
        <v>-13721.19</v>
      </c>
      <c r="P203" s="11">
        <v>-16.912</v>
      </c>
      <c r="Q203" s="11">
        <v>1387.18</v>
      </c>
      <c r="R203" s="11">
        <v>-20.071</v>
      </c>
      <c r="S203" s="12">
        <v>0.89</v>
      </c>
      <c r="T203" s="13">
        <f t="shared" si="1"/>
        <v>1367.999</v>
      </c>
      <c r="U203" s="14">
        <f t="shared" si="2"/>
        <v>4.961</v>
      </c>
      <c r="V203" s="14">
        <f t="shared" si="3"/>
        <v>0.5144438228</v>
      </c>
      <c r="W203" s="15" t="str">
        <f t="shared" si="4"/>
        <v/>
      </c>
      <c r="X203" s="11">
        <f t="shared" si="5"/>
        <v>1368.408</v>
      </c>
      <c r="Y203" s="14">
        <f t="shared" si="6"/>
        <v>-0.409</v>
      </c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</row>
    <row r="204">
      <c r="A204" s="7"/>
      <c r="B204" s="7"/>
      <c r="C204" s="7"/>
      <c r="D204" s="7"/>
      <c r="E204" s="7"/>
      <c r="F204" s="7" t="s">
        <v>22</v>
      </c>
      <c r="G204" s="8">
        <v>1106.0</v>
      </c>
      <c r="H204" s="9">
        <v>39.1840691667</v>
      </c>
      <c r="I204" s="9">
        <v>-112.926188333</v>
      </c>
      <c r="J204" s="10">
        <v>1373.39</v>
      </c>
      <c r="K204" s="11">
        <v>-1508.504</v>
      </c>
      <c r="L204" s="11">
        <v>-12531.049</v>
      </c>
      <c r="M204" s="11">
        <v>-9.174</v>
      </c>
      <c r="N204" s="11">
        <v>-1508.503</v>
      </c>
      <c r="O204" s="11">
        <v>-12531.041</v>
      </c>
      <c r="P204" s="11">
        <v>-12.954</v>
      </c>
      <c r="Q204" s="11">
        <v>1388.67</v>
      </c>
      <c r="R204" s="11">
        <v>-20.06</v>
      </c>
      <c r="S204" s="12">
        <v>0.89</v>
      </c>
      <c r="T204" s="13">
        <f t="shared" si="1"/>
        <v>1369.5</v>
      </c>
      <c r="U204" s="14">
        <f t="shared" si="2"/>
        <v>3.89</v>
      </c>
      <c r="V204" s="14">
        <f t="shared" si="3"/>
        <v>-0.8326694639</v>
      </c>
      <c r="W204" s="15" t="str">
        <f t="shared" si="4"/>
        <v/>
      </c>
      <c r="X204" s="11">
        <f t="shared" si="5"/>
        <v>1368.838</v>
      </c>
      <c r="Y204" s="14">
        <f t="shared" si="6"/>
        <v>0.662</v>
      </c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</row>
    <row r="205">
      <c r="A205" s="7"/>
      <c r="B205" s="7"/>
      <c r="C205" s="7"/>
      <c r="D205" s="7"/>
      <c r="E205" s="7"/>
      <c r="F205" s="7" t="s">
        <v>22</v>
      </c>
      <c r="G205" s="8">
        <v>1107.0</v>
      </c>
      <c r="H205" s="9">
        <v>39.1949025</v>
      </c>
      <c r="I205" s="9">
        <v>-112.9261675</v>
      </c>
      <c r="J205" s="10">
        <v>1375.34</v>
      </c>
      <c r="K205" s="11">
        <v>-1506.545</v>
      </c>
      <c r="L205" s="11">
        <v>-11328.014</v>
      </c>
      <c r="M205" s="11">
        <v>-4.968</v>
      </c>
      <c r="N205" s="11">
        <v>-1506.544</v>
      </c>
      <c r="O205" s="11">
        <v>-11328.006</v>
      </c>
      <c r="P205" s="11">
        <v>-9.388</v>
      </c>
      <c r="Q205" s="11">
        <v>1389.97</v>
      </c>
      <c r="R205" s="11">
        <v>-20.048</v>
      </c>
      <c r="S205" s="12">
        <v>0.89</v>
      </c>
      <c r="T205" s="13">
        <f t="shared" si="1"/>
        <v>1370.812</v>
      </c>
      <c r="U205" s="14">
        <f t="shared" si="2"/>
        <v>4.528</v>
      </c>
      <c r="V205" s="14">
        <f t="shared" si="3"/>
        <v>-0.03018741259</v>
      </c>
      <c r="W205" s="15" t="str">
        <f t="shared" si="4"/>
        <v/>
      </c>
      <c r="X205" s="11">
        <f t="shared" si="5"/>
        <v>1370.788</v>
      </c>
      <c r="Y205" s="14">
        <f t="shared" si="6"/>
        <v>0.024</v>
      </c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</row>
    <row r="206">
      <c r="A206" s="7"/>
      <c r="B206" s="7"/>
      <c r="C206" s="7"/>
      <c r="D206" s="7"/>
      <c r="E206" s="7"/>
      <c r="F206" s="7" t="s">
        <v>22</v>
      </c>
      <c r="G206" s="8">
        <v>1108.0</v>
      </c>
      <c r="H206" s="9">
        <v>39.2057136111</v>
      </c>
      <c r="I206" s="9">
        <v>-112.926116389</v>
      </c>
      <c r="J206" s="10">
        <v>1375.86</v>
      </c>
      <c r="K206" s="11">
        <v>-1501.821</v>
      </c>
      <c r="L206" s="11">
        <v>-10127.528</v>
      </c>
      <c r="M206" s="11">
        <v>-2.423</v>
      </c>
      <c r="N206" s="11">
        <v>-1501.82</v>
      </c>
      <c r="O206" s="11">
        <v>-10127.521</v>
      </c>
      <c r="P206" s="11">
        <v>-6.743</v>
      </c>
      <c r="Q206" s="11">
        <v>1390.57</v>
      </c>
      <c r="R206" s="11">
        <v>-20.035</v>
      </c>
      <c r="S206" s="12">
        <v>0.89</v>
      </c>
      <c r="T206" s="13">
        <f t="shared" si="1"/>
        <v>1371.425</v>
      </c>
      <c r="U206" s="14">
        <f t="shared" si="2"/>
        <v>4.435</v>
      </c>
      <c r="V206" s="14">
        <f t="shared" si="3"/>
        <v>-0.1471636364</v>
      </c>
      <c r="W206" s="15" t="str">
        <f t="shared" si="4"/>
        <v/>
      </c>
      <c r="X206" s="11">
        <f t="shared" si="5"/>
        <v>1371.308</v>
      </c>
      <c r="Y206" s="14">
        <f t="shared" si="6"/>
        <v>0.117</v>
      </c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</row>
    <row r="207">
      <c r="A207" s="7"/>
      <c r="B207" s="7"/>
      <c r="C207" s="7"/>
      <c r="D207" s="7"/>
      <c r="E207" s="7"/>
      <c r="F207" s="7" t="s">
        <v>22</v>
      </c>
      <c r="G207" s="8">
        <v>1109.0</v>
      </c>
      <c r="H207" s="9">
        <v>39.2165452778</v>
      </c>
      <c r="I207" s="9">
        <v>-112.926089444</v>
      </c>
      <c r="J207" s="10">
        <v>1375.78</v>
      </c>
      <c r="K207" s="11">
        <v>-1499.258</v>
      </c>
      <c r="L207" s="11">
        <v>-8924.817</v>
      </c>
      <c r="M207" s="11">
        <v>-0.702</v>
      </c>
      <c r="N207" s="11">
        <v>-1499.257</v>
      </c>
      <c r="O207" s="11">
        <v>-8924.812</v>
      </c>
      <c r="P207" s="11">
        <v>-4.932</v>
      </c>
      <c r="Q207" s="11">
        <v>1390.57</v>
      </c>
      <c r="R207" s="11">
        <v>-20.022</v>
      </c>
      <c r="S207" s="12">
        <v>0.89</v>
      </c>
      <c r="T207" s="13">
        <f t="shared" si="1"/>
        <v>1371.438</v>
      </c>
      <c r="U207" s="14">
        <f t="shared" si="2"/>
        <v>4.342</v>
      </c>
      <c r="V207" s="14">
        <f t="shared" si="3"/>
        <v>-0.2641398601</v>
      </c>
      <c r="W207" s="15" t="str">
        <f t="shared" si="4"/>
        <v/>
      </c>
      <c r="X207" s="11">
        <f t="shared" si="5"/>
        <v>1371.228</v>
      </c>
      <c r="Y207" s="14">
        <f t="shared" si="6"/>
        <v>0.21</v>
      </c>
      <c r="Z207" s="21" t="s">
        <v>32</v>
      </c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</row>
    <row r="208">
      <c r="A208" s="7"/>
      <c r="B208" s="7"/>
      <c r="C208" s="7"/>
      <c r="D208" s="7"/>
      <c r="E208" s="7"/>
      <c r="F208" s="7" t="s">
        <v>22</v>
      </c>
      <c r="G208" s="8">
        <v>1110.0</v>
      </c>
      <c r="H208" s="9">
        <v>39.2273155556</v>
      </c>
      <c r="I208" s="9">
        <v>-112.926086111</v>
      </c>
      <c r="J208" s="10">
        <v>1377.31</v>
      </c>
      <c r="K208" s="11">
        <v>-1498.771</v>
      </c>
      <c r="L208" s="11">
        <v>-7728.768</v>
      </c>
      <c r="M208" s="11">
        <v>2.394</v>
      </c>
      <c r="N208" s="11">
        <v>-1498.769</v>
      </c>
      <c r="O208" s="11">
        <v>-7728.762</v>
      </c>
      <c r="P208" s="11">
        <v>-2.556</v>
      </c>
      <c r="Q208" s="11">
        <v>1391.37</v>
      </c>
      <c r="R208" s="11">
        <v>-20.01</v>
      </c>
      <c r="S208" s="12">
        <v>0.89</v>
      </c>
      <c r="T208" s="13">
        <f t="shared" si="1"/>
        <v>1372.25</v>
      </c>
      <c r="U208" s="14">
        <f t="shared" si="2"/>
        <v>5.06</v>
      </c>
      <c r="V208" s="14">
        <f t="shared" si="3"/>
        <v>0.6389668998</v>
      </c>
      <c r="W208" s="15" t="str">
        <f t="shared" si="4"/>
        <v/>
      </c>
      <c r="X208" s="11">
        <f t="shared" si="5"/>
        <v>1372.758</v>
      </c>
      <c r="Y208" s="14">
        <f t="shared" si="6"/>
        <v>-0.508</v>
      </c>
      <c r="Z208" s="22">
        <v>1371.137</v>
      </c>
      <c r="AA208" s="22">
        <v>1391.142</v>
      </c>
      <c r="AB208" s="23">
        <v>1370.415</v>
      </c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</row>
    <row r="209">
      <c r="A209" s="7"/>
      <c r="B209" s="7"/>
      <c r="C209" s="7"/>
      <c r="D209" s="7"/>
      <c r="E209" s="7"/>
      <c r="F209" s="7" t="s">
        <v>22</v>
      </c>
      <c r="G209" s="8">
        <v>1111.0</v>
      </c>
      <c r="H209" s="9">
        <v>39.2381427778</v>
      </c>
      <c r="I209" s="9">
        <v>-112.926098056</v>
      </c>
      <c r="J209" s="10">
        <v>1379.82</v>
      </c>
      <c r="K209" s="11">
        <v>-1499.577</v>
      </c>
      <c r="L209" s="11">
        <v>-6526.499</v>
      </c>
      <c r="M209" s="11">
        <v>6.251</v>
      </c>
      <c r="N209" s="11">
        <v>-1499.576</v>
      </c>
      <c r="O209" s="11">
        <v>-6526.494</v>
      </c>
      <c r="P209" s="11">
        <v>1.411</v>
      </c>
      <c r="Q209" s="11">
        <v>1393.98</v>
      </c>
      <c r="R209" s="11">
        <v>-19.997</v>
      </c>
      <c r="S209" s="12">
        <v>0.89</v>
      </c>
      <c r="T209" s="13">
        <f t="shared" si="1"/>
        <v>1374.873</v>
      </c>
      <c r="U209" s="14">
        <f t="shared" si="2"/>
        <v>4.947</v>
      </c>
      <c r="V209" s="14">
        <f t="shared" si="3"/>
        <v>0.4968344988</v>
      </c>
      <c r="W209" s="15" t="str">
        <f t="shared" si="4"/>
        <v/>
      </c>
      <c r="X209" s="11">
        <f t="shared" si="5"/>
        <v>1375.268</v>
      </c>
      <c r="Y209" s="14">
        <f t="shared" si="6"/>
        <v>-0.395</v>
      </c>
      <c r="Z209" s="24">
        <f>Z208-Q208-R208</f>
        <v>-0.223</v>
      </c>
      <c r="AA209" s="24">
        <f>AA208-Q208</f>
        <v>-0.228</v>
      </c>
      <c r="AB209" s="24">
        <f>Z208-AB208</f>
        <v>0.722</v>
      </c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</row>
    <row r="210">
      <c r="A210" s="7"/>
      <c r="B210" s="7"/>
      <c r="C210" s="7"/>
      <c r="D210" s="7"/>
      <c r="E210" s="7"/>
      <c r="F210" s="7" t="s">
        <v>22</v>
      </c>
      <c r="G210" s="8">
        <v>1112.0</v>
      </c>
      <c r="H210" s="9">
        <v>39.2489866667</v>
      </c>
      <c r="I210" s="9">
        <v>-112.926086111</v>
      </c>
      <c r="J210" s="10">
        <v>1379.5</v>
      </c>
      <c r="K210" s="11">
        <v>-1498.31</v>
      </c>
      <c r="L210" s="11">
        <v>-5322.336</v>
      </c>
      <c r="M210" s="11">
        <v>7.052</v>
      </c>
      <c r="N210" s="11">
        <v>-1498.309</v>
      </c>
      <c r="O210" s="11">
        <v>-5322.332</v>
      </c>
      <c r="P210" s="11">
        <v>3.122</v>
      </c>
      <c r="Q210" s="11">
        <v>1394.55</v>
      </c>
      <c r="R210" s="11">
        <v>-19.985</v>
      </c>
      <c r="S210" s="12">
        <v>0.89</v>
      </c>
      <c r="T210" s="13">
        <f t="shared" si="1"/>
        <v>1375.455</v>
      </c>
      <c r="U210" s="14">
        <f t="shared" si="2"/>
        <v>4.045</v>
      </c>
      <c r="V210" s="14">
        <f t="shared" si="3"/>
        <v>-0.6377090909</v>
      </c>
      <c r="W210" s="15" t="str">
        <f t="shared" si="4"/>
        <v/>
      </c>
      <c r="X210" s="11">
        <f t="shared" si="5"/>
        <v>1374.948</v>
      </c>
      <c r="Y210" s="14">
        <f t="shared" si="6"/>
        <v>0.507</v>
      </c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</row>
    <row r="211">
      <c r="A211" s="7"/>
      <c r="B211" s="7"/>
      <c r="C211" s="7"/>
      <c r="D211" s="7"/>
      <c r="E211" s="7"/>
      <c r="F211" s="7" t="s">
        <v>22</v>
      </c>
      <c r="G211" s="8">
        <v>1113.0</v>
      </c>
      <c r="H211" s="9">
        <v>39.25979</v>
      </c>
      <c r="I211" s="9">
        <v>-112.926034722</v>
      </c>
      <c r="J211" s="10">
        <v>1380.35</v>
      </c>
      <c r="K211" s="11">
        <v>-1493.678</v>
      </c>
      <c r="L211" s="11">
        <v>-4122.724</v>
      </c>
      <c r="M211" s="11">
        <v>8.794</v>
      </c>
      <c r="N211" s="11">
        <v>-1493.677</v>
      </c>
      <c r="O211" s="11">
        <v>-4122.721</v>
      </c>
      <c r="P211" s="11">
        <v>3.854</v>
      </c>
      <c r="Q211" s="11">
        <v>1394.38</v>
      </c>
      <c r="R211" s="11">
        <v>-19.972</v>
      </c>
      <c r="S211" s="12">
        <v>0.89</v>
      </c>
      <c r="T211" s="13">
        <f t="shared" si="1"/>
        <v>1375.298</v>
      </c>
      <c r="U211" s="14">
        <f t="shared" si="2"/>
        <v>5.052</v>
      </c>
      <c r="V211" s="14">
        <f t="shared" si="3"/>
        <v>0.6289044289</v>
      </c>
      <c r="W211" s="15" t="str">
        <f t="shared" si="4"/>
        <v/>
      </c>
      <c r="X211" s="11">
        <f t="shared" si="5"/>
        <v>1375.798</v>
      </c>
      <c r="Y211" s="14">
        <f t="shared" si="6"/>
        <v>-0.5</v>
      </c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</row>
    <row r="212">
      <c r="A212" s="7"/>
      <c r="B212" s="7"/>
      <c r="C212" s="7"/>
      <c r="D212" s="7"/>
      <c r="E212" s="7"/>
      <c r="F212" s="7" t="s">
        <v>22</v>
      </c>
      <c r="G212" s="8">
        <v>1114.0</v>
      </c>
      <c r="H212" s="9">
        <v>39.2706222222</v>
      </c>
      <c r="I212" s="9">
        <v>-112.926049444</v>
      </c>
      <c r="J212" s="10">
        <v>1381.16</v>
      </c>
      <c r="K212" s="11">
        <v>-1494.656</v>
      </c>
      <c r="L212" s="11">
        <v>-2919.889</v>
      </c>
      <c r="M212" s="11">
        <v>10.269</v>
      </c>
      <c r="N212" s="11">
        <v>-1494.655</v>
      </c>
      <c r="O212" s="11">
        <v>-2919.887</v>
      </c>
      <c r="P212" s="11">
        <v>4.839</v>
      </c>
      <c r="Q212" s="11">
        <v>1394.69</v>
      </c>
      <c r="R212" s="11">
        <v>-19.959</v>
      </c>
      <c r="S212" s="12">
        <v>0.89</v>
      </c>
      <c r="T212" s="13">
        <f t="shared" si="1"/>
        <v>1375.621</v>
      </c>
      <c r="U212" s="14">
        <f t="shared" si="2"/>
        <v>5.539</v>
      </c>
      <c r="V212" s="14">
        <f t="shared" si="3"/>
        <v>1.241457343</v>
      </c>
      <c r="W212" s="15" t="str">
        <f t="shared" si="4"/>
        <v/>
      </c>
      <c r="X212" s="11">
        <f t="shared" si="5"/>
        <v>1376.608</v>
      </c>
      <c r="Y212" s="14">
        <f t="shared" si="6"/>
        <v>-0.987</v>
      </c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</row>
    <row r="213">
      <c r="A213" s="7"/>
      <c r="B213" s="7"/>
      <c r="C213" s="7"/>
      <c r="D213" s="7"/>
      <c r="E213" s="7"/>
      <c r="F213" s="7" t="s">
        <v>22</v>
      </c>
      <c r="G213" s="8">
        <v>1115.0</v>
      </c>
      <c r="H213" s="9">
        <v>39.2814122222</v>
      </c>
      <c r="I213" s="9">
        <v>-112.926017222</v>
      </c>
      <c r="J213" s="10">
        <v>1381.82</v>
      </c>
      <c r="K213" s="11">
        <v>-1491.666</v>
      </c>
      <c r="L213" s="11">
        <v>-1721.716</v>
      </c>
      <c r="M213" s="11">
        <v>11.367</v>
      </c>
      <c r="N213" s="11">
        <v>-1491.665</v>
      </c>
      <c r="O213" s="11">
        <v>-1721.715</v>
      </c>
      <c r="P213" s="11">
        <v>7.057</v>
      </c>
      <c r="Q213" s="11">
        <v>1396.46</v>
      </c>
      <c r="R213" s="11">
        <v>-19.946</v>
      </c>
      <c r="S213" s="12">
        <v>0.89</v>
      </c>
      <c r="T213" s="13">
        <f t="shared" si="1"/>
        <v>1377.404</v>
      </c>
      <c r="U213" s="14">
        <f t="shared" si="2"/>
        <v>4.416</v>
      </c>
      <c r="V213" s="14">
        <f t="shared" si="3"/>
        <v>-0.1710620047</v>
      </c>
      <c r="W213" s="15" t="str">
        <f t="shared" si="4"/>
        <v/>
      </c>
      <c r="X213" s="11">
        <f t="shared" si="5"/>
        <v>1377.268</v>
      </c>
      <c r="Y213" s="14">
        <f t="shared" si="6"/>
        <v>0.136</v>
      </c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</row>
    <row r="214">
      <c r="A214" s="7"/>
      <c r="B214" s="7"/>
      <c r="C214" s="7"/>
      <c r="D214" s="7"/>
      <c r="E214" s="7"/>
      <c r="F214" s="7" t="s">
        <v>22</v>
      </c>
      <c r="G214" s="8">
        <v>1116.0</v>
      </c>
      <c r="H214" s="9">
        <v>39.29225</v>
      </c>
      <c r="I214" s="9">
        <v>-112.926018333</v>
      </c>
      <c r="J214" s="10">
        <v>1383.96</v>
      </c>
      <c r="K214" s="11">
        <v>-1491.523</v>
      </c>
      <c r="L214" s="11">
        <v>-518.21</v>
      </c>
      <c r="M214" s="11">
        <v>13.719</v>
      </c>
      <c r="N214" s="11">
        <v>-1491.521</v>
      </c>
      <c r="O214" s="11">
        <v>-518.209</v>
      </c>
      <c r="P214" s="11">
        <v>8.469</v>
      </c>
      <c r="Q214" s="11">
        <v>1397.64</v>
      </c>
      <c r="R214" s="11">
        <v>-19.933</v>
      </c>
      <c r="S214" s="12">
        <v>0.89</v>
      </c>
      <c r="T214" s="13">
        <f t="shared" si="1"/>
        <v>1378.597</v>
      </c>
      <c r="U214" s="14">
        <f t="shared" si="2"/>
        <v>5.363</v>
      </c>
      <c r="V214" s="14">
        <f t="shared" si="3"/>
        <v>1.020082984</v>
      </c>
      <c r="W214" s="15" t="str">
        <f t="shared" si="4"/>
        <v/>
      </c>
      <c r="X214" s="11">
        <f t="shared" si="5"/>
        <v>1379.408</v>
      </c>
      <c r="Y214" s="14">
        <f t="shared" si="6"/>
        <v>-0.811</v>
      </c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</row>
    <row r="215">
      <c r="A215" s="7"/>
      <c r="B215" s="7"/>
      <c r="C215" s="7"/>
      <c r="D215" s="7"/>
      <c r="E215" s="7"/>
      <c r="F215" s="7" t="s">
        <v>22</v>
      </c>
      <c r="G215" s="8">
        <v>1117.0</v>
      </c>
      <c r="H215" s="9">
        <v>39.3030622222</v>
      </c>
      <c r="I215" s="9">
        <v>-112.925997222</v>
      </c>
      <c r="J215" s="10">
        <v>1379.86</v>
      </c>
      <c r="K215" s="11">
        <v>-1489.48</v>
      </c>
      <c r="L215" s="11">
        <v>682.412</v>
      </c>
      <c r="M215" s="11">
        <v>9.604</v>
      </c>
      <c r="N215" s="11">
        <v>-1489.479</v>
      </c>
      <c r="O215" s="11">
        <v>682.411</v>
      </c>
      <c r="P215" s="11">
        <v>4.934</v>
      </c>
      <c r="Q215" s="11">
        <v>1394.11</v>
      </c>
      <c r="R215" s="11">
        <v>-19.92</v>
      </c>
      <c r="S215" s="12">
        <v>0.89</v>
      </c>
      <c r="T215" s="13">
        <f t="shared" si="1"/>
        <v>1375.08</v>
      </c>
      <c r="U215" s="14">
        <f t="shared" si="2"/>
        <v>4.78</v>
      </c>
      <c r="V215" s="14">
        <f t="shared" si="3"/>
        <v>0.2867804196</v>
      </c>
      <c r="W215" s="15" t="str">
        <f t="shared" si="4"/>
        <v/>
      </c>
      <c r="X215" s="11">
        <f t="shared" si="5"/>
        <v>1375.308</v>
      </c>
      <c r="Y215" s="14">
        <f t="shared" si="6"/>
        <v>-0.228</v>
      </c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</row>
    <row r="216">
      <c r="A216" s="7"/>
      <c r="B216" s="7"/>
      <c r="C216" s="7"/>
      <c r="D216" s="7"/>
      <c r="E216" s="7"/>
      <c r="F216" s="7" t="s">
        <v>22</v>
      </c>
      <c r="G216" s="8">
        <v>1118.0</v>
      </c>
      <c r="H216" s="9">
        <v>39.3140247222</v>
      </c>
      <c r="I216" s="9">
        <v>-112.925941667</v>
      </c>
      <c r="J216" s="10">
        <v>1379.82</v>
      </c>
      <c r="K216" s="11">
        <v>-1484.504</v>
      </c>
      <c r="L216" s="11">
        <v>1899.802</v>
      </c>
      <c r="M216" s="11">
        <v>9.318</v>
      </c>
      <c r="N216" s="11">
        <v>-1484.503</v>
      </c>
      <c r="O216" s="11">
        <v>1899.801</v>
      </c>
      <c r="P216" s="11">
        <v>4.838</v>
      </c>
      <c r="Q216" s="11">
        <v>1394.24</v>
      </c>
      <c r="R216" s="11">
        <v>-19.905</v>
      </c>
      <c r="S216" s="12">
        <v>0.89</v>
      </c>
      <c r="T216" s="13">
        <f t="shared" si="1"/>
        <v>1375.225</v>
      </c>
      <c r="U216" s="14">
        <f t="shared" si="2"/>
        <v>4.595</v>
      </c>
      <c r="V216" s="14">
        <f t="shared" si="3"/>
        <v>0.05408578089</v>
      </c>
      <c r="W216" s="15" t="str">
        <f t="shared" si="4"/>
        <v/>
      </c>
      <c r="X216" s="11">
        <f t="shared" si="5"/>
        <v>1375.268</v>
      </c>
      <c r="Y216" s="14">
        <f t="shared" si="6"/>
        <v>-0.043</v>
      </c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</row>
    <row r="217">
      <c r="A217" s="7"/>
      <c r="B217" s="7"/>
      <c r="C217" s="7"/>
      <c r="D217" s="7"/>
      <c r="E217" s="7"/>
      <c r="F217" s="7" t="s">
        <v>22</v>
      </c>
      <c r="G217" s="8">
        <v>1119.0</v>
      </c>
      <c r="H217" s="9">
        <v>39.3246788889</v>
      </c>
      <c r="I217" s="9">
        <v>-112.925960278</v>
      </c>
      <c r="J217" s="10">
        <v>1379.04</v>
      </c>
      <c r="K217" s="11">
        <v>-1485.831</v>
      </c>
      <c r="L217" s="11">
        <v>3082.882</v>
      </c>
      <c r="M217" s="11">
        <v>8.074</v>
      </c>
      <c r="N217" s="11">
        <v>-1485.83</v>
      </c>
      <c r="O217" s="11">
        <v>3082.88</v>
      </c>
      <c r="P217" s="11">
        <v>3.814</v>
      </c>
      <c r="Q217" s="11">
        <v>1393.67</v>
      </c>
      <c r="R217" s="11">
        <v>-19.89</v>
      </c>
      <c r="S217" s="12">
        <v>0.89</v>
      </c>
      <c r="T217" s="13">
        <f t="shared" si="1"/>
        <v>1374.67</v>
      </c>
      <c r="U217" s="14">
        <f t="shared" si="2"/>
        <v>4.37</v>
      </c>
      <c r="V217" s="14">
        <f t="shared" si="3"/>
        <v>-0.2289212121</v>
      </c>
      <c r="W217" s="15" t="str">
        <f t="shared" si="4"/>
        <v/>
      </c>
      <c r="X217" s="11">
        <f t="shared" si="5"/>
        <v>1374.488</v>
      </c>
      <c r="Y217" s="14">
        <f t="shared" si="6"/>
        <v>0.182</v>
      </c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</row>
    <row r="218">
      <c r="A218" s="7"/>
      <c r="B218" s="7"/>
      <c r="C218" s="7"/>
      <c r="D218" s="7"/>
      <c r="E218" s="7"/>
      <c r="F218" s="7" t="s">
        <v>22</v>
      </c>
      <c r="G218" s="8">
        <v>1120.0</v>
      </c>
      <c r="H218" s="9">
        <v>39.3355102778</v>
      </c>
      <c r="I218" s="9">
        <v>-112.926</v>
      </c>
      <c r="J218" s="10">
        <v>1381.1</v>
      </c>
      <c r="K218" s="11">
        <v>-1489.051</v>
      </c>
      <c r="L218" s="11">
        <v>4285.622</v>
      </c>
      <c r="M218" s="11">
        <v>9.437</v>
      </c>
      <c r="N218" s="11">
        <v>-1489.05</v>
      </c>
      <c r="O218" s="11">
        <v>4285.619</v>
      </c>
      <c r="P218" s="11">
        <v>5.157</v>
      </c>
      <c r="Q218" s="11">
        <v>1395.69</v>
      </c>
      <c r="R218" s="11">
        <v>-19.871</v>
      </c>
      <c r="S218" s="12">
        <v>0.89</v>
      </c>
      <c r="T218" s="13">
        <f t="shared" si="1"/>
        <v>1376.709</v>
      </c>
      <c r="U218" s="14">
        <f t="shared" si="2"/>
        <v>4.391</v>
      </c>
      <c r="V218" s="14">
        <f t="shared" si="3"/>
        <v>-0.2025072261</v>
      </c>
      <c r="W218" s="15" t="str">
        <f t="shared" si="4"/>
        <v/>
      </c>
      <c r="X218" s="11">
        <f t="shared" si="5"/>
        <v>1376.548</v>
      </c>
      <c r="Y218" s="14">
        <f t="shared" si="6"/>
        <v>0.161</v>
      </c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</row>
    <row r="219">
      <c r="A219" s="7"/>
      <c r="B219" s="7"/>
      <c r="C219" s="7"/>
      <c r="D219" s="7"/>
      <c r="E219" s="7"/>
      <c r="F219" s="7" t="s">
        <v>22</v>
      </c>
      <c r="G219" s="8">
        <v>1121.0</v>
      </c>
      <c r="H219" s="9">
        <v>39.3462366667</v>
      </c>
      <c r="I219" s="9">
        <v>-112.925938333</v>
      </c>
      <c r="J219" s="10">
        <v>1389.92</v>
      </c>
      <c r="K219" s="11">
        <v>-1483.48</v>
      </c>
      <c r="L219" s="11">
        <v>5476.819</v>
      </c>
      <c r="M219" s="11">
        <v>17.345</v>
      </c>
      <c r="N219" s="11">
        <v>-1483.479</v>
      </c>
      <c r="O219" s="11">
        <v>5476.815</v>
      </c>
      <c r="P219" s="11">
        <v>12.325</v>
      </c>
      <c r="Q219" s="11">
        <v>1403.75</v>
      </c>
      <c r="R219" s="11">
        <v>-19.85</v>
      </c>
      <c r="S219" s="12">
        <v>0.89</v>
      </c>
      <c r="T219" s="13">
        <f t="shared" si="1"/>
        <v>1384.79</v>
      </c>
      <c r="U219" s="14">
        <f t="shared" si="2"/>
        <v>5.13</v>
      </c>
      <c r="V219" s="14">
        <f t="shared" si="3"/>
        <v>0.7270135198</v>
      </c>
      <c r="W219" s="15" t="str">
        <f t="shared" si="4"/>
        <v/>
      </c>
      <c r="X219" s="11">
        <f t="shared" si="5"/>
        <v>1385.368</v>
      </c>
      <c r="Y219" s="14">
        <f t="shared" si="6"/>
        <v>-0.578</v>
      </c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</row>
    <row r="220">
      <c r="A220" s="7"/>
      <c r="B220" s="7"/>
      <c r="C220" s="7"/>
      <c r="D220" s="7"/>
      <c r="E220" s="7"/>
      <c r="F220" s="7" t="s">
        <v>22</v>
      </c>
      <c r="G220" s="8">
        <v>1122.0</v>
      </c>
      <c r="H220" s="9">
        <v>39.3570775</v>
      </c>
      <c r="I220" s="9">
        <v>-112.925944167</v>
      </c>
      <c r="J220" s="10">
        <v>1398.16</v>
      </c>
      <c r="K220" s="11">
        <v>-1483.77</v>
      </c>
      <c r="L220" s="11">
        <v>6680.682</v>
      </c>
      <c r="M220" s="11">
        <v>24.434</v>
      </c>
      <c r="N220" s="11">
        <v>-1483.769</v>
      </c>
      <c r="O220" s="11">
        <v>6680.677</v>
      </c>
      <c r="P220" s="11">
        <v>19.264</v>
      </c>
      <c r="Q220" s="11">
        <v>1411.81</v>
      </c>
      <c r="R220" s="11">
        <v>-19.825</v>
      </c>
      <c r="S220" s="12">
        <v>0.89</v>
      </c>
      <c r="T220" s="13">
        <f t="shared" si="1"/>
        <v>1392.875</v>
      </c>
      <c r="U220" s="14">
        <f t="shared" si="2"/>
        <v>5.285</v>
      </c>
      <c r="V220" s="14">
        <f t="shared" si="3"/>
        <v>0.9219738928</v>
      </c>
      <c r="W220" s="15" t="str">
        <f t="shared" si="4"/>
        <v/>
      </c>
      <c r="X220" s="11">
        <f t="shared" si="5"/>
        <v>1393.608</v>
      </c>
      <c r="Y220" s="14">
        <f t="shared" si="6"/>
        <v>-0.733</v>
      </c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</row>
    <row r="221">
      <c r="A221" s="7"/>
      <c r="B221" s="7"/>
      <c r="C221" s="7"/>
      <c r="D221" s="7"/>
      <c r="E221" s="7"/>
      <c r="F221" s="7" t="s">
        <v>22</v>
      </c>
      <c r="G221" s="8">
        <v>1123.0</v>
      </c>
      <c r="H221" s="9">
        <v>39.3679575</v>
      </c>
      <c r="I221" s="9">
        <v>-112.925826944</v>
      </c>
      <c r="J221" s="10">
        <v>1406.42</v>
      </c>
      <c r="K221" s="11">
        <v>-1473.457</v>
      </c>
      <c r="L221" s="11">
        <v>7888.879</v>
      </c>
      <c r="M221" s="11">
        <v>31.313</v>
      </c>
      <c r="N221" s="11">
        <v>-1473.456</v>
      </c>
      <c r="O221" s="11">
        <v>7888.871</v>
      </c>
      <c r="P221" s="11">
        <v>24.623</v>
      </c>
      <c r="Q221" s="11">
        <v>1418.53</v>
      </c>
      <c r="R221" s="11">
        <v>-19.799</v>
      </c>
      <c r="S221" s="12">
        <v>0.89</v>
      </c>
      <c r="T221" s="13">
        <f t="shared" si="1"/>
        <v>1399.621</v>
      </c>
      <c r="U221" s="14">
        <f t="shared" si="2"/>
        <v>6.799</v>
      </c>
      <c r="V221" s="14">
        <f t="shared" si="3"/>
        <v>2.826296503</v>
      </c>
      <c r="W221" s="15" t="str">
        <f t="shared" si="4"/>
        <v/>
      </c>
      <c r="X221" s="11">
        <f t="shared" si="5"/>
        <v>1401.868</v>
      </c>
      <c r="Y221" s="14">
        <f t="shared" si="6"/>
        <v>-2.247</v>
      </c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</row>
    <row r="222">
      <c r="A222" s="7"/>
      <c r="B222" s="7"/>
      <c r="C222" s="7"/>
      <c r="D222" s="7"/>
      <c r="E222" s="7"/>
      <c r="F222" s="7" t="s">
        <v>22</v>
      </c>
      <c r="G222" s="8">
        <v>1124.0</v>
      </c>
      <c r="H222" s="9">
        <v>39.3787372222</v>
      </c>
      <c r="I222" s="9">
        <v>-112.925881667</v>
      </c>
      <c r="J222" s="10">
        <v>1420.46</v>
      </c>
      <c r="K222" s="11">
        <v>-1477.974</v>
      </c>
      <c r="L222" s="11">
        <v>9085.876</v>
      </c>
      <c r="M222" s="11">
        <v>43.756</v>
      </c>
      <c r="N222" s="11">
        <v>-1477.973</v>
      </c>
      <c r="O222" s="11">
        <v>9085.869</v>
      </c>
      <c r="P222" s="11">
        <v>38.616</v>
      </c>
      <c r="Q222" s="11">
        <v>1434.09</v>
      </c>
      <c r="R222" s="11">
        <v>-19.772</v>
      </c>
      <c r="S222" s="12">
        <v>0.89</v>
      </c>
      <c r="T222" s="13">
        <f t="shared" si="1"/>
        <v>1415.208</v>
      </c>
      <c r="U222" s="14">
        <f t="shared" si="2"/>
        <v>5.252</v>
      </c>
      <c r="V222" s="14">
        <f t="shared" si="3"/>
        <v>0.8804662005</v>
      </c>
      <c r="W222" s="15" t="str">
        <f t="shared" si="4"/>
        <v/>
      </c>
      <c r="X222" s="11">
        <f t="shared" si="5"/>
        <v>1415.908</v>
      </c>
      <c r="Y222" s="14">
        <f t="shared" si="6"/>
        <v>-0.7</v>
      </c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</row>
    <row r="223">
      <c r="A223" s="7"/>
      <c r="B223" s="7"/>
      <c r="C223" s="7"/>
      <c r="D223" s="7"/>
      <c r="E223" s="7"/>
      <c r="F223" s="7" t="s">
        <v>22</v>
      </c>
      <c r="G223" s="8">
        <v>1125.0</v>
      </c>
      <c r="H223" s="9">
        <v>39.3895541667</v>
      </c>
      <c r="I223" s="9">
        <v>-112.925903333</v>
      </c>
      <c r="J223" s="10">
        <v>1431.27</v>
      </c>
      <c r="K223" s="11">
        <v>-1479.558</v>
      </c>
      <c r="L223" s="11">
        <v>10287.095</v>
      </c>
      <c r="M223" s="11">
        <v>52.736</v>
      </c>
      <c r="N223" s="11">
        <v>-1479.557</v>
      </c>
      <c r="O223" s="11">
        <v>10287.088</v>
      </c>
      <c r="P223" s="11">
        <v>48.696</v>
      </c>
      <c r="Q223" s="11">
        <v>1445.97</v>
      </c>
      <c r="R223" s="11">
        <v>-19.744</v>
      </c>
      <c r="S223" s="12">
        <v>0.89</v>
      </c>
      <c r="T223" s="13">
        <f t="shared" si="1"/>
        <v>1427.116</v>
      </c>
      <c r="U223" s="14">
        <f t="shared" si="2"/>
        <v>4.154</v>
      </c>
      <c r="V223" s="14">
        <f t="shared" si="3"/>
        <v>-0.5006079254</v>
      </c>
      <c r="W223" s="15" t="str">
        <f t="shared" si="4"/>
        <v/>
      </c>
      <c r="X223" s="11">
        <f t="shared" si="5"/>
        <v>1426.718</v>
      </c>
      <c r="Y223" s="14">
        <f t="shared" si="6"/>
        <v>0.398</v>
      </c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</row>
    <row r="224">
      <c r="A224" s="7"/>
      <c r="B224" s="7"/>
      <c r="C224" s="7"/>
      <c r="D224" s="7"/>
      <c r="E224" s="7"/>
      <c r="F224" s="7" t="s">
        <v>22</v>
      </c>
      <c r="G224" s="8">
        <v>1126.0</v>
      </c>
      <c r="H224" s="9">
        <v>39.4003277778</v>
      </c>
      <c r="I224" s="9">
        <v>-112.92575</v>
      </c>
      <c r="J224" s="10">
        <v>1444.27</v>
      </c>
      <c r="K224" s="11">
        <v>-1466.151</v>
      </c>
      <c r="L224" s="11">
        <v>11483.545</v>
      </c>
      <c r="M224" s="11">
        <v>63.693</v>
      </c>
      <c r="N224" s="11">
        <v>-1466.15</v>
      </c>
      <c r="O224" s="11">
        <v>11483.536</v>
      </c>
      <c r="P224" s="11">
        <v>58.773</v>
      </c>
      <c r="Q224" s="11">
        <v>1458.07</v>
      </c>
      <c r="R224" s="11">
        <v>-19.716</v>
      </c>
      <c r="S224" s="12">
        <v>0.89</v>
      </c>
      <c r="T224" s="13">
        <f t="shared" si="1"/>
        <v>1439.244</v>
      </c>
      <c r="U224" s="14">
        <f t="shared" si="2"/>
        <v>5.026</v>
      </c>
      <c r="V224" s="14">
        <f t="shared" si="3"/>
        <v>0.5962013986</v>
      </c>
      <c r="W224" s="15" t="str">
        <f t="shared" si="4"/>
        <v/>
      </c>
      <c r="X224" s="11">
        <f t="shared" si="5"/>
        <v>1439.718</v>
      </c>
      <c r="Y224" s="14">
        <f t="shared" si="6"/>
        <v>-0.474</v>
      </c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</row>
    <row r="225">
      <c r="A225" s="7"/>
      <c r="B225" s="7"/>
      <c r="C225" s="7"/>
      <c r="D225" s="7"/>
      <c r="E225" s="7"/>
      <c r="F225" s="7" t="s">
        <v>31</v>
      </c>
      <c r="G225" s="8">
        <v>1127.0</v>
      </c>
      <c r="H225" s="9">
        <v>39.410450833333336</v>
      </c>
      <c r="I225" s="9">
        <v>-112.92697055555556</v>
      </c>
      <c r="J225" s="13">
        <v>1456.37</v>
      </c>
      <c r="K225" s="10">
        <v>-1571.123</v>
      </c>
      <c r="L225" s="10">
        <v>12607.731</v>
      </c>
      <c r="M225" s="10">
        <v>73.639</v>
      </c>
      <c r="N225" s="10">
        <v>-1571.122</v>
      </c>
      <c r="O225" s="10">
        <v>12607.722</v>
      </c>
      <c r="P225" s="10">
        <v>69.039</v>
      </c>
      <c r="Q225" s="13">
        <v>1470.46</v>
      </c>
      <c r="R225" s="13">
        <v>-19.69</v>
      </c>
      <c r="S225" s="12">
        <v>0.89</v>
      </c>
      <c r="T225" s="13">
        <f t="shared" si="1"/>
        <v>1451.66</v>
      </c>
      <c r="U225" s="14">
        <f t="shared" si="2"/>
        <v>4.71</v>
      </c>
      <c r="V225" s="14">
        <f t="shared" si="3"/>
        <v>0.1987337995</v>
      </c>
      <c r="W225" s="15" t="str">
        <f t="shared" si="4"/>
        <v/>
      </c>
      <c r="X225" s="11">
        <f t="shared" si="5"/>
        <v>1451.818</v>
      </c>
      <c r="Y225" s="14">
        <f t="shared" si="6"/>
        <v>-0.158</v>
      </c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</row>
    <row r="226">
      <c r="A226" s="7"/>
      <c r="B226" s="7"/>
      <c r="C226" s="7"/>
      <c r="D226" s="7"/>
      <c r="E226" s="7"/>
      <c r="F226" s="7" t="s">
        <v>31</v>
      </c>
      <c r="G226" s="8">
        <v>1128.0</v>
      </c>
      <c r="H226" s="9">
        <v>39.42113277777778</v>
      </c>
      <c r="I226" s="9">
        <v>-112.92718722222222</v>
      </c>
      <c r="J226" s="13">
        <v>1465.51</v>
      </c>
      <c r="K226" s="10">
        <v>-1589.49</v>
      </c>
      <c r="L226" s="10">
        <v>13793.976</v>
      </c>
      <c r="M226" s="10">
        <v>80.314</v>
      </c>
      <c r="N226" s="10">
        <v>-1589.488</v>
      </c>
      <c r="O226" s="10">
        <v>13793.959</v>
      </c>
      <c r="P226" s="10">
        <v>72.624</v>
      </c>
      <c r="Q226" s="13">
        <v>1476.48</v>
      </c>
      <c r="R226" s="13">
        <v>-19.664</v>
      </c>
      <c r="S226" s="12">
        <v>0.89</v>
      </c>
      <c r="T226" s="13">
        <f t="shared" si="1"/>
        <v>1457.706</v>
      </c>
      <c r="U226" s="14">
        <f t="shared" si="2"/>
        <v>7.804</v>
      </c>
      <c r="V226" s="14">
        <f t="shared" si="3"/>
        <v>4.090394406</v>
      </c>
      <c r="W226" s="15" t="str">
        <f t="shared" si="4"/>
        <v>✔</v>
      </c>
      <c r="X226" s="11">
        <f t="shared" si="5"/>
        <v>1460.958</v>
      </c>
      <c r="Y226" s="14">
        <f t="shared" si="6"/>
        <v>-3.252</v>
      </c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</row>
    <row r="227">
      <c r="A227" s="7"/>
      <c r="B227" s="7"/>
      <c r="C227" s="7"/>
      <c r="D227" s="7"/>
      <c r="E227" s="7"/>
      <c r="F227" s="7" t="s">
        <v>31</v>
      </c>
      <c r="G227" s="8">
        <v>1129.0</v>
      </c>
      <c r="H227" s="9">
        <v>39.4316275</v>
      </c>
      <c r="I227" s="9">
        <v>-112.92809333333334</v>
      </c>
      <c r="J227" s="13">
        <v>1467.9</v>
      </c>
      <c r="K227" s="10">
        <v>-1667.274</v>
      </c>
      <c r="L227" s="10">
        <v>14959.456</v>
      </c>
      <c r="M227" s="10">
        <v>80.05</v>
      </c>
      <c r="N227" s="10">
        <v>-1667.273</v>
      </c>
      <c r="O227" s="10">
        <v>14959.446</v>
      </c>
      <c r="P227" s="10">
        <v>75.57</v>
      </c>
      <c r="Q227" s="13">
        <v>1482.06</v>
      </c>
      <c r="R227" s="13">
        <v>-19.638</v>
      </c>
      <c r="S227" s="12">
        <v>0.89</v>
      </c>
      <c r="T227" s="13">
        <f t="shared" si="1"/>
        <v>1463.312</v>
      </c>
      <c r="U227" s="14">
        <f t="shared" si="2"/>
        <v>4.588</v>
      </c>
      <c r="V227" s="14">
        <f t="shared" si="3"/>
        <v>0.04528111888</v>
      </c>
      <c r="W227" s="15" t="str">
        <f t="shared" si="4"/>
        <v/>
      </c>
      <c r="X227" s="11">
        <f t="shared" si="5"/>
        <v>1463.348</v>
      </c>
      <c r="Y227" s="14">
        <f t="shared" si="6"/>
        <v>-0.036</v>
      </c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</row>
    <row r="228">
      <c r="A228" s="7"/>
      <c r="B228" s="7"/>
      <c r="C228" s="7"/>
      <c r="D228" s="7"/>
      <c r="E228" s="7"/>
      <c r="F228" s="7" t="s">
        <v>31</v>
      </c>
      <c r="G228" s="8">
        <v>1130.0</v>
      </c>
      <c r="H228" s="9">
        <v>39.44286666666667</v>
      </c>
      <c r="I228" s="9">
        <v>-112.92788138888889</v>
      </c>
      <c r="J228" s="13">
        <v>1474.08</v>
      </c>
      <c r="K228" s="10">
        <v>-1648.754</v>
      </c>
      <c r="L228" s="10">
        <v>16207.549</v>
      </c>
      <c r="M228" s="10">
        <v>83.178</v>
      </c>
      <c r="N228" s="10">
        <v>-1648.753</v>
      </c>
      <c r="O228" s="10">
        <v>16207.539</v>
      </c>
      <c r="P228" s="10">
        <v>79.148</v>
      </c>
      <c r="Q228" s="13">
        <v>1488.66</v>
      </c>
      <c r="R228" s="13">
        <v>-19.612</v>
      </c>
      <c r="S228" s="12">
        <v>0.89</v>
      </c>
      <c r="T228" s="13">
        <f t="shared" si="1"/>
        <v>1469.938</v>
      </c>
      <c r="U228" s="14">
        <f t="shared" si="2"/>
        <v>4.142</v>
      </c>
      <c r="V228" s="14">
        <f t="shared" si="3"/>
        <v>-0.5157016317</v>
      </c>
      <c r="W228" s="15" t="str">
        <f t="shared" si="4"/>
        <v/>
      </c>
      <c r="X228" s="11">
        <f t="shared" si="5"/>
        <v>1469.528</v>
      </c>
      <c r="Y228" s="14">
        <f t="shared" si="6"/>
        <v>0.41</v>
      </c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</row>
    <row r="229">
      <c r="A229" s="7"/>
      <c r="B229" s="7"/>
      <c r="C229" s="7"/>
      <c r="D229" s="7"/>
      <c r="E229" s="7"/>
      <c r="F229" s="7" t="s">
        <v>31</v>
      </c>
      <c r="G229" s="8">
        <v>1131.0</v>
      </c>
      <c r="H229" s="9">
        <v>39.45357777777778</v>
      </c>
      <c r="I229" s="9">
        <v>-112.92655138888888</v>
      </c>
      <c r="J229" s="13">
        <v>1473.76</v>
      </c>
      <c r="K229" s="10">
        <v>-1534.001</v>
      </c>
      <c r="L229" s="10">
        <v>17396.975</v>
      </c>
      <c r="M229" s="10">
        <v>79.746</v>
      </c>
      <c r="N229" s="10">
        <v>-1534.0</v>
      </c>
      <c r="O229" s="10">
        <v>17396.962</v>
      </c>
      <c r="P229" s="10">
        <v>74.936</v>
      </c>
      <c r="Q229" s="13">
        <v>1487.54</v>
      </c>
      <c r="R229" s="13">
        <v>-19.589</v>
      </c>
      <c r="S229" s="12">
        <v>0.89</v>
      </c>
      <c r="T229" s="13">
        <f t="shared" si="1"/>
        <v>1468.841</v>
      </c>
      <c r="U229" s="14">
        <f t="shared" si="2"/>
        <v>4.919</v>
      </c>
      <c r="V229" s="14">
        <f t="shared" si="3"/>
        <v>0.4616158508</v>
      </c>
      <c r="W229" s="15" t="str">
        <f t="shared" si="4"/>
        <v/>
      </c>
      <c r="X229" s="11">
        <f t="shared" si="5"/>
        <v>1469.208</v>
      </c>
      <c r="Y229" s="14">
        <f t="shared" si="6"/>
        <v>-0.367</v>
      </c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</row>
    <row r="230">
      <c r="A230" s="7"/>
      <c r="B230" s="7"/>
      <c r="C230" s="7"/>
      <c r="D230" s="7"/>
      <c r="E230" s="7"/>
      <c r="F230" s="7" t="s">
        <v>22</v>
      </c>
      <c r="G230" s="8">
        <v>1201.0</v>
      </c>
      <c r="H230" s="9">
        <v>39.1300536111</v>
      </c>
      <c r="I230" s="9">
        <v>-112.912353056</v>
      </c>
      <c r="J230" s="10">
        <v>1373.58</v>
      </c>
      <c r="K230" s="11">
        <v>-313.121</v>
      </c>
      <c r="L230" s="11">
        <v>-18529.128</v>
      </c>
      <c r="M230" s="11">
        <v>-23.455</v>
      </c>
      <c r="N230" s="11">
        <v>-313.121</v>
      </c>
      <c r="O230" s="11">
        <v>-18529.114</v>
      </c>
      <c r="P230" s="11">
        <v>-28.335</v>
      </c>
      <c r="Q230" s="11">
        <v>1387.77</v>
      </c>
      <c r="R230" s="11">
        <v>-20.07</v>
      </c>
      <c r="S230" s="12">
        <v>0.89</v>
      </c>
      <c r="T230" s="13">
        <f t="shared" si="1"/>
        <v>1368.59</v>
      </c>
      <c r="U230" s="14">
        <f t="shared" si="2"/>
        <v>4.99</v>
      </c>
      <c r="V230" s="14">
        <f t="shared" si="3"/>
        <v>0.5509202797</v>
      </c>
      <c r="W230" s="15" t="str">
        <f t="shared" si="4"/>
        <v/>
      </c>
      <c r="X230" s="11">
        <f t="shared" si="5"/>
        <v>1369.028</v>
      </c>
      <c r="Y230" s="14">
        <f t="shared" si="6"/>
        <v>-0.438</v>
      </c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</row>
    <row r="231">
      <c r="A231" s="7"/>
      <c r="B231" s="7"/>
      <c r="C231" s="7"/>
      <c r="D231" s="7"/>
      <c r="E231" s="7"/>
      <c r="F231" s="7" t="s">
        <v>22</v>
      </c>
      <c r="G231" s="8">
        <v>1202.0</v>
      </c>
      <c r="H231" s="9">
        <v>39.1396886111</v>
      </c>
      <c r="I231" s="9">
        <v>-112.909978056</v>
      </c>
      <c r="J231" s="10">
        <v>1374.26</v>
      </c>
      <c r="K231" s="11">
        <v>-107.702</v>
      </c>
      <c r="L231" s="11">
        <v>-17459.25</v>
      </c>
      <c r="M231" s="11">
        <v>-19.742</v>
      </c>
      <c r="N231" s="11">
        <v>-107.702</v>
      </c>
      <c r="O231" s="11">
        <v>-17459.239</v>
      </c>
      <c r="P231" s="11">
        <v>-23.662</v>
      </c>
      <c r="Q231" s="11">
        <v>1389.4</v>
      </c>
      <c r="R231" s="11">
        <v>-20.065</v>
      </c>
      <c r="S231" s="12">
        <v>0.89</v>
      </c>
      <c r="T231" s="13">
        <f t="shared" si="1"/>
        <v>1370.225</v>
      </c>
      <c r="U231" s="14">
        <f t="shared" si="2"/>
        <v>4.035</v>
      </c>
      <c r="V231" s="14">
        <f t="shared" si="3"/>
        <v>-0.6502871795</v>
      </c>
      <c r="W231" s="15" t="str">
        <f t="shared" si="4"/>
        <v/>
      </c>
      <c r="X231" s="11">
        <f t="shared" si="5"/>
        <v>1369.708</v>
      </c>
      <c r="Y231" s="14">
        <f t="shared" si="6"/>
        <v>0.517</v>
      </c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</row>
    <row r="232">
      <c r="A232" s="7"/>
      <c r="B232" s="7"/>
      <c r="C232" s="7"/>
      <c r="D232" s="7"/>
      <c r="E232" s="7"/>
      <c r="F232" s="7" t="s">
        <v>22</v>
      </c>
      <c r="G232" s="8">
        <v>1203.0</v>
      </c>
      <c r="H232" s="9">
        <v>39.1516538889</v>
      </c>
      <c r="I232" s="9">
        <v>-112.912352222</v>
      </c>
      <c r="J232" s="10">
        <v>1373.88</v>
      </c>
      <c r="K232" s="11">
        <v>-312.939</v>
      </c>
      <c r="L232" s="11">
        <v>-16130.628</v>
      </c>
      <c r="M232" s="11">
        <v>-16.622</v>
      </c>
      <c r="N232" s="11">
        <v>-312.939</v>
      </c>
      <c r="O232" s="11">
        <v>-16130.617</v>
      </c>
      <c r="P232" s="11">
        <v>-20.792</v>
      </c>
      <c r="Q232" s="11">
        <v>1388.77</v>
      </c>
      <c r="R232" s="11">
        <v>-20.065</v>
      </c>
      <c r="S232" s="12">
        <v>0.89</v>
      </c>
      <c r="T232" s="13">
        <f t="shared" si="1"/>
        <v>1369.595</v>
      </c>
      <c r="U232" s="14">
        <f t="shared" si="2"/>
        <v>4.285</v>
      </c>
      <c r="V232" s="14">
        <f t="shared" si="3"/>
        <v>-0.335834965</v>
      </c>
      <c r="W232" s="15" t="str">
        <f t="shared" si="4"/>
        <v/>
      </c>
      <c r="X232" s="11">
        <f t="shared" si="5"/>
        <v>1369.328</v>
      </c>
      <c r="Y232" s="14">
        <f t="shared" si="6"/>
        <v>0.267</v>
      </c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</row>
    <row r="233">
      <c r="A233" s="7"/>
      <c r="B233" s="7"/>
      <c r="C233" s="7"/>
      <c r="D233" s="7"/>
      <c r="E233" s="7"/>
      <c r="F233" s="7" t="s">
        <v>22</v>
      </c>
      <c r="G233" s="8">
        <v>1204.0</v>
      </c>
      <c r="H233" s="9">
        <v>39.1624825</v>
      </c>
      <c r="I233" s="9">
        <v>-112.912208056</v>
      </c>
      <c r="J233" s="10">
        <v>1372.3</v>
      </c>
      <c r="K233" s="11">
        <v>-300.443</v>
      </c>
      <c r="L233" s="11">
        <v>-14928.149</v>
      </c>
      <c r="M233" s="11">
        <v>-15.266</v>
      </c>
      <c r="N233" s="11">
        <v>-300.443</v>
      </c>
      <c r="O233" s="11">
        <v>-14928.14</v>
      </c>
      <c r="P233" s="11">
        <v>-19.136</v>
      </c>
      <c r="Q233" s="11">
        <v>1387.49</v>
      </c>
      <c r="R233" s="11">
        <v>-20.057</v>
      </c>
      <c r="S233" s="12">
        <v>0.89</v>
      </c>
      <c r="T233" s="13">
        <f t="shared" si="1"/>
        <v>1368.323</v>
      </c>
      <c r="U233" s="14">
        <f t="shared" si="2"/>
        <v>3.977</v>
      </c>
      <c r="V233" s="14">
        <f t="shared" si="3"/>
        <v>-0.7232400932</v>
      </c>
      <c r="W233" s="15" t="str">
        <f t="shared" si="4"/>
        <v/>
      </c>
      <c r="X233" s="11">
        <f t="shared" si="5"/>
        <v>1367.748</v>
      </c>
      <c r="Y233" s="14">
        <f t="shared" si="6"/>
        <v>0.575</v>
      </c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</row>
    <row r="234">
      <c r="A234" s="7"/>
      <c r="B234" s="7"/>
      <c r="C234" s="7"/>
      <c r="D234" s="7"/>
      <c r="E234" s="7"/>
      <c r="F234" s="7" t="s">
        <v>22</v>
      </c>
      <c r="G234" s="8">
        <v>1205.0</v>
      </c>
      <c r="H234" s="9">
        <v>39.1730144444</v>
      </c>
      <c r="I234" s="9">
        <v>-112.91229</v>
      </c>
      <c r="J234" s="10">
        <v>1373.69</v>
      </c>
      <c r="K234" s="11">
        <v>-307.486</v>
      </c>
      <c r="L234" s="11">
        <v>-13758.765</v>
      </c>
      <c r="M234" s="11">
        <v>-11.24</v>
      </c>
      <c r="N234" s="11">
        <v>-307.485</v>
      </c>
      <c r="O234" s="11">
        <v>-13758.751</v>
      </c>
      <c r="P234" s="11">
        <v>-17.51</v>
      </c>
      <c r="Q234" s="11">
        <v>1386.47</v>
      </c>
      <c r="R234" s="11">
        <v>-20.049</v>
      </c>
      <c r="S234" s="12">
        <v>0.89</v>
      </c>
      <c r="T234" s="13">
        <f t="shared" si="1"/>
        <v>1367.311</v>
      </c>
      <c r="U234" s="14">
        <f t="shared" si="2"/>
        <v>6.379</v>
      </c>
      <c r="V234" s="14">
        <f t="shared" si="3"/>
        <v>2.298016783</v>
      </c>
      <c r="W234" s="15" t="str">
        <f t="shared" si="4"/>
        <v/>
      </c>
      <c r="X234" s="11">
        <f t="shared" si="5"/>
        <v>1369.138</v>
      </c>
      <c r="Y234" s="14">
        <f t="shared" si="6"/>
        <v>-1.827</v>
      </c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</row>
    <row r="235">
      <c r="A235" s="7"/>
      <c r="B235" s="7"/>
      <c r="C235" s="7"/>
      <c r="D235" s="7"/>
      <c r="E235" s="7"/>
      <c r="F235" s="7" t="s">
        <v>22</v>
      </c>
      <c r="G235" s="8">
        <v>1206.0</v>
      </c>
      <c r="H235" s="9">
        <v>39.1840558333</v>
      </c>
      <c r="I235" s="9">
        <v>-112.912237778</v>
      </c>
      <c r="J235" s="10">
        <v>1374.04</v>
      </c>
      <c r="K235" s="11">
        <v>-302.944</v>
      </c>
      <c r="L235" s="11">
        <v>-12532.633</v>
      </c>
      <c r="M235" s="11">
        <v>-8.357</v>
      </c>
      <c r="N235" s="11">
        <v>-302.944</v>
      </c>
      <c r="O235" s="11">
        <v>-12532.623</v>
      </c>
      <c r="P235" s="11">
        <v>-13.457</v>
      </c>
      <c r="Q235" s="11">
        <v>1387.98</v>
      </c>
      <c r="R235" s="11">
        <v>-20.039</v>
      </c>
      <c r="S235" s="12">
        <v>0.89</v>
      </c>
      <c r="T235" s="13">
        <f t="shared" si="1"/>
        <v>1368.831</v>
      </c>
      <c r="U235" s="14">
        <f t="shared" si="2"/>
        <v>5.209</v>
      </c>
      <c r="V235" s="14">
        <f t="shared" si="3"/>
        <v>0.8263804196</v>
      </c>
      <c r="W235" s="15" t="str">
        <f t="shared" si="4"/>
        <v/>
      </c>
      <c r="X235" s="11">
        <f t="shared" si="5"/>
        <v>1369.488</v>
      </c>
      <c r="Y235" s="14">
        <f t="shared" si="6"/>
        <v>-0.657</v>
      </c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</row>
    <row r="236">
      <c r="A236" s="7"/>
      <c r="B236" s="7"/>
      <c r="C236" s="7"/>
      <c r="D236" s="7"/>
      <c r="E236" s="7"/>
      <c r="F236" s="7" t="s">
        <v>22</v>
      </c>
      <c r="G236" s="8">
        <v>1207.0</v>
      </c>
      <c r="H236" s="9">
        <v>39.1948794444</v>
      </c>
      <c r="I236" s="9">
        <v>-112.912283889</v>
      </c>
      <c r="J236" s="10">
        <v>1374.69</v>
      </c>
      <c r="K236" s="11">
        <v>-306.872</v>
      </c>
      <c r="L236" s="11">
        <v>-11330.817</v>
      </c>
      <c r="M236" s="11">
        <v>-5.453</v>
      </c>
      <c r="N236" s="11">
        <v>-306.872</v>
      </c>
      <c r="O236" s="11">
        <v>-11330.808</v>
      </c>
      <c r="P236" s="11">
        <v>-10.403</v>
      </c>
      <c r="Q236" s="11">
        <v>1388.77</v>
      </c>
      <c r="R236" s="11">
        <v>-20.028</v>
      </c>
      <c r="S236" s="12">
        <v>0.89</v>
      </c>
      <c r="T236" s="13">
        <f t="shared" si="1"/>
        <v>1369.632</v>
      </c>
      <c r="U236" s="14">
        <f t="shared" si="2"/>
        <v>5.058</v>
      </c>
      <c r="V236" s="14">
        <f t="shared" si="3"/>
        <v>0.6364512821</v>
      </c>
      <c r="W236" s="15" t="str">
        <f t="shared" si="4"/>
        <v/>
      </c>
      <c r="X236" s="11">
        <f t="shared" si="5"/>
        <v>1370.138</v>
      </c>
      <c r="Y236" s="14">
        <f t="shared" si="6"/>
        <v>-0.506</v>
      </c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</row>
    <row r="237">
      <c r="A237" s="7"/>
      <c r="B237" s="7"/>
      <c r="C237" s="7"/>
      <c r="D237" s="7"/>
      <c r="E237" s="7"/>
      <c r="F237" s="7" t="s">
        <v>22</v>
      </c>
      <c r="G237" s="8">
        <v>1208.0</v>
      </c>
      <c r="H237" s="9">
        <v>39.2056636111</v>
      </c>
      <c r="I237" s="9">
        <v>-112.912176111</v>
      </c>
      <c r="J237" s="10">
        <v>1375.06</v>
      </c>
      <c r="K237" s="11">
        <v>-297.495</v>
      </c>
      <c r="L237" s="11">
        <v>-10133.218</v>
      </c>
      <c r="M237" s="11">
        <v>-3.062</v>
      </c>
      <c r="N237" s="11">
        <v>-297.494</v>
      </c>
      <c r="O237" s="11">
        <v>-10133.211</v>
      </c>
      <c r="P237" s="11">
        <v>-7.572</v>
      </c>
      <c r="Q237" s="11">
        <v>1389.57</v>
      </c>
      <c r="R237" s="11">
        <v>-20.016</v>
      </c>
      <c r="S237" s="12">
        <v>0.89</v>
      </c>
      <c r="T237" s="13">
        <f t="shared" si="1"/>
        <v>1370.444</v>
      </c>
      <c r="U237" s="14">
        <f t="shared" si="2"/>
        <v>4.616</v>
      </c>
      <c r="V237" s="14">
        <f t="shared" si="3"/>
        <v>0.0804997669</v>
      </c>
      <c r="W237" s="15" t="str">
        <f t="shared" si="4"/>
        <v/>
      </c>
      <c r="X237" s="11">
        <f t="shared" si="5"/>
        <v>1370.508</v>
      </c>
      <c r="Y237" s="14">
        <f t="shared" si="6"/>
        <v>-0.064</v>
      </c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</row>
    <row r="238">
      <c r="A238" s="7"/>
      <c r="B238" s="7"/>
      <c r="C238" s="7"/>
      <c r="D238" s="7"/>
      <c r="E238" s="7"/>
      <c r="F238" s="7" t="s">
        <v>22</v>
      </c>
      <c r="G238" s="8">
        <v>1209.0</v>
      </c>
      <c r="H238" s="9">
        <v>39.2164911111</v>
      </c>
      <c r="I238" s="9">
        <v>-112.912234444</v>
      </c>
      <c r="J238" s="10">
        <v>1375.96</v>
      </c>
      <c r="K238" s="11">
        <v>-302.459</v>
      </c>
      <c r="L238" s="11">
        <v>-8930.952</v>
      </c>
      <c r="M238" s="11">
        <v>-0.361</v>
      </c>
      <c r="N238" s="11">
        <v>-302.459</v>
      </c>
      <c r="O238" s="11">
        <v>-8930.946</v>
      </c>
      <c r="P238" s="11">
        <v>-4.641</v>
      </c>
      <c r="Q238" s="11">
        <v>1390.68</v>
      </c>
      <c r="R238" s="11">
        <v>-20.003</v>
      </c>
      <c r="S238" s="12">
        <v>0.89</v>
      </c>
      <c r="T238" s="13">
        <f t="shared" si="1"/>
        <v>1371.567</v>
      </c>
      <c r="U238" s="14">
        <f t="shared" si="2"/>
        <v>4.393</v>
      </c>
      <c r="V238" s="14">
        <f t="shared" si="3"/>
        <v>-0.1999916084</v>
      </c>
      <c r="W238" s="15" t="str">
        <f t="shared" si="4"/>
        <v/>
      </c>
      <c r="X238" s="11">
        <f t="shared" si="5"/>
        <v>1371.408</v>
      </c>
      <c r="Y238" s="14">
        <f t="shared" si="6"/>
        <v>0.159</v>
      </c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</row>
    <row r="239">
      <c r="A239" s="7"/>
      <c r="B239" s="7"/>
      <c r="C239" s="7"/>
      <c r="D239" s="7"/>
      <c r="E239" s="7"/>
      <c r="F239" s="7" t="s">
        <v>22</v>
      </c>
      <c r="G239" s="8">
        <v>1210.0</v>
      </c>
      <c r="H239" s="9">
        <v>39.2272933333</v>
      </c>
      <c r="I239" s="9">
        <v>-112.912232222</v>
      </c>
      <c r="J239" s="10">
        <v>1382.67</v>
      </c>
      <c r="K239" s="11">
        <v>-302.24</v>
      </c>
      <c r="L239" s="11">
        <v>-7731.467</v>
      </c>
      <c r="M239" s="11">
        <v>7.919</v>
      </c>
      <c r="N239" s="11">
        <v>-302.24</v>
      </c>
      <c r="O239" s="11">
        <v>-7731.462</v>
      </c>
      <c r="P239" s="11">
        <v>3.709</v>
      </c>
      <c r="Q239" s="11">
        <v>1397.45</v>
      </c>
      <c r="R239" s="11">
        <v>-19.992</v>
      </c>
      <c r="S239" s="12">
        <v>0.89</v>
      </c>
      <c r="T239" s="13">
        <f t="shared" si="1"/>
        <v>1378.348</v>
      </c>
      <c r="U239" s="14">
        <f t="shared" si="2"/>
        <v>4.322</v>
      </c>
      <c r="V239" s="14">
        <f t="shared" si="3"/>
        <v>-0.2892960373</v>
      </c>
      <c r="W239" s="15" t="str">
        <f t="shared" si="4"/>
        <v/>
      </c>
      <c r="X239" s="11">
        <f t="shared" si="5"/>
        <v>1378.118</v>
      </c>
      <c r="Y239" s="14">
        <f t="shared" si="6"/>
        <v>0.23</v>
      </c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</row>
    <row r="240">
      <c r="A240" s="7"/>
      <c r="B240" s="7"/>
      <c r="C240" s="7"/>
      <c r="D240" s="7"/>
      <c r="E240" s="7"/>
      <c r="F240" s="7" t="s">
        <v>22</v>
      </c>
      <c r="G240" s="8">
        <v>1211.0</v>
      </c>
      <c r="H240" s="9">
        <v>39.2381736111</v>
      </c>
      <c r="I240" s="9">
        <v>-112.912170556</v>
      </c>
      <c r="J240" s="10">
        <v>1379.41</v>
      </c>
      <c r="K240" s="11">
        <v>-296.926</v>
      </c>
      <c r="L240" s="11">
        <v>-6523.194</v>
      </c>
      <c r="M240" s="11">
        <v>6.013</v>
      </c>
      <c r="N240" s="11">
        <v>-296.926</v>
      </c>
      <c r="O240" s="11">
        <v>-6523.19</v>
      </c>
      <c r="P240" s="11">
        <v>2.093</v>
      </c>
      <c r="Q240" s="11">
        <v>1394.47</v>
      </c>
      <c r="R240" s="11">
        <v>-19.98</v>
      </c>
      <c r="S240" s="12">
        <v>0.89</v>
      </c>
      <c r="T240" s="13">
        <f t="shared" si="1"/>
        <v>1375.38</v>
      </c>
      <c r="U240" s="14">
        <f t="shared" si="2"/>
        <v>4.03</v>
      </c>
      <c r="V240" s="14">
        <f t="shared" si="3"/>
        <v>-0.6565762238</v>
      </c>
      <c r="W240" s="15" t="str">
        <f t="shared" si="4"/>
        <v/>
      </c>
      <c r="X240" s="11">
        <f t="shared" si="5"/>
        <v>1374.858</v>
      </c>
      <c r="Y240" s="14">
        <f t="shared" si="6"/>
        <v>0.522</v>
      </c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</row>
    <row r="241">
      <c r="A241" s="7"/>
      <c r="B241" s="7"/>
      <c r="C241" s="7"/>
      <c r="D241" s="7"/>
      <c r="E241" s="7"/>
      <c r="F241" s="7" t="s">
        <v>22</v>
      </c>
      <c r="G241" s="8">
        <v>1212.0</v>
      </c>
      <c r="H241" s="9">
        <v>39.2489325</v>
      </c>
      <c r="I241" s="9">
        <v>-112.912199722</v>
      </c>
      <c r="J241" s="10">
        <v>1378.02</v>
      </c>
      <c r="K241" s="11">
        <v>-299.384</v>
      </c>
      <c r="L241" s="11">
        <v>-5328.469</v>
      </c>
      <c r="M241" s="11">
        <v>5.736</v>
      </c>
      <c r="N241" s="11">
        <v>-299.384</v>
      </c>
      <c r="O241" s="11">
        <v>-5328.466</v>
      </c>
      <c r="P241" s="11">
        <v>2.286</v>
      </c>
      <c r="Q241" s="11">
        <v>1393.54</v>
      </c>
      <c r="R241" s="11">
        <v>-19.969</v>
      </c>
      <c r="S241" s="12">
        <v>0.89</v>
      </c>
      <c r="T241" s="13">
        <f t="shared" si="1"/>
        <v>1374.461</v>
      </c>
      <c r="U241" s="14">
        <f t="shared" si="2"/>
        <v>3.559</v>
      </c>
      <c r="V241" s="14">
        <f t="shared" si="3"/>
        <v>-1.249004196</v>
      </c>
      <c r="W241" s="15" t="str">
        <f t="shared" si="4"/>
        <v/>
      </c>
      <c r="X241" s="11">
        <f t="shared" si="5"/>
        <v>1373.468</v>
      </c>
      <c r="Y241" s="14">
        <f t="shared" si="6"/>
        <v>0.993</v>
      </c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</row>
    <row r="242">
      <c r="A242" s="7"/>
      <c r="B242" s="7"/>
      <c r="C242" s="7"/>
      <c r="D242" s="7"/>
      <c r="E242" s="7"/>
      <c r="F242" s="7" t="s">
        <v>22</v>
      </c>
      <c r="G242" s="8">
        <v>1213.0</v>
      </c>
      <c r="H242" s="9">
        <v>39.2597938889</v>
      </c>
      <c r="I242" s="9">
        <v>-112.912161111</v>
      </c>
      <c r="J242" s="10">
        <v>1377.73</v>
      </c>
      <c r="K242" s="11">
        <v>-295.971</v>
      </c>
      <c r="L242" s="11">
        <v>-4122.416</v>
      </c>
      <c r="M242" s="11">
        <v>6.342</v>
      </c>
      <c r="N242" s="11">
        <v>-295.971</v>
      </c>
      <c r="O242" s="11">
        <v>-4122.413</v>
      </c>
      <c r="P242" s="11">
        <v>2.392</v>
      </c>
      <c r="Q242" s="11">
        <v>1392.74</v>
      </c>
      <c r="R242" s="11">
        <v>-19.957</v>
      </c>
      <c r="S242" s="12">
        <v>0.89</v>
      </c>
      <c r="T242" s="13">
        <f t="shared" si="1"/>
        <v>1373.673</v>
      </c>
      <c r="U242" s="14">
        <f t="shared" si="2"/>
        <v>4.057</v>
      </c>
      <c r="V242" s="14">
        <f t="shared" si="3"/>
        <v>-0.6226153846</v>
      </c>
      <c r="W242" s="15" t="str">
        <f t="shared" si="4"/>
        <v/>
      </c>
      <c r="X242" s="11">
        <f t="shared" si="5"/>
        <v>1373.178</v>
      </c>
      <c r="Y242" s="14">
        <f t="shared" si="6"/>
        <v>0.495</v>
      </c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</row>
    <row r="243">
      <c r="A243" s="7"/>
      <c r="B243" s="7"/>
      <c r="C243" s="7"/>
      <c r="D243" s="7"/>
      <c r="E243" s="7"/>
      <c r="F243" s="7" t="s">
        <v>22</v>
      </c>
      <c r="G243" s="8">
        <v>1214.0</v>
      </c>
      <c r="H243" s="9">
        <v>39.2705919444</v>
      </c>
      <c r="I243" s="9">
        <v>-112.912102778</v>
      </c>
      <c r="J243" s="10">
        <v>1381.5</v>
      </c>
      <c r="K243" s="11">
        <v>-290.92</v>
      </c>
      <c r="L243" s="11">
        <v>-2923.358</v>
      </c>
      <c r="M243" s="11">
        <v>10.776</v>
      </c>
      <c r="N243" s="11">
        <v>-290.92</v>
      </c>
      <c r="O243" s="11">
        <v>-2923.356</v>
      </c>
      <c r="P243" s="11">
        <v>6.636</v>
      </c>
      <c r="Q243" s="11">
        <v>1396.31</v>
      </c>
      <c r="R243" s="11">
        <v>-19.946</v>
      </c>
      <c r="S243" s="12">
        <v>0.89</v>
      </c>
      <c r="T243" s="13">
        <f t="shared" si="1"/>
        <v>1377.254</v>
      </c>
      <c r="U243" s="14">
        <f t="shared" si="2"/>
        <v>4.246</v>
      </c>
      <c r="V243" s="14">
        <f t="shared" si="3"/>
        <v>-0.3848895105</v>
      </c>
      <c r="W243" s="15" t="str">
        <f t="shared" si="4"/>
        <v/>
      </c>
      <c r="X243" s="11">
        <f t="shared" si="5"/>
        <v>1376.948</v>
      </c>
      <c r="Y243" s="14">
        <f t="shared" si="6"/>
        <v>0.306</v>
      </c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</row>
    <row r="244">
      <c r="A244" s="7"/>
      <c r="B244" s="7"/>
      <c r="C244" s="7"/>
      <c r="D244" s="7"/>
      <c r="E244" s="7"/>
      <c r="F244" s="7" t="s">
        <v>22</v>
      </c>
      <c r="G244" s="8">
        <v>1215.0</v>
      </c>
      <c r="H244" s="9">
        <v>39.2813786111</v>
      </c>
      <c r="I244" s="9">
        <v>-112.912094167</v>
      </c>
      <c r="J244" s="10">
        <v>1377.58</v>
      </c>
      <c r="K244" s="11">
        <v>-290.098</v>
      </c>
      <c r="L244" s="11">
        <v>-1725.516</v>
      </c>
      <c r="M244" s="11">
        <v>7.293</v>
      </c>
      <c r="N244" s="11">
        <v>-290.098</v>
      </c>
      <c r="O244" s="11">
        <v>-1725.515</v>
      </c>
      <c r="P244" s="11">
        <v>2.963</v>
      </c>
      <c r="Q244" s="11">
        <v>1392.18</v>
      </c>
      <c r="R244" s="11">
        <v>-19.934</v>
      </c>
      <c r="S244" s="12">
        <v>0.89</v>
      </c>
      <c r="T244" s="13">
        <f t="shared" si="1"/>
        <v>1373.136</v>
      </c>
      <c r="U244" s="14">
        <f t="shared" si="2"/>
        <v>4.444</v>
      </c>
      <c r="V244" s="14">
        <f t="shared" si="3"/>
        <v>-0.1358433566</v>
      </c>
      <c r="W244" s="15" t="str">
        <f t="shared" si="4"/>
        <v/>
      </c>
      <c r="X244" s="11">
        <f t="shared" si="5"/>
        <v>1373.028</v>
      </c>
      <c r="Y244" s="14">
        <f t="shared" si="6"/>
        <v>0.108</v>
      </c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</row>
    <row r="245">
      <c r="A245" s="7"/>
      <c r="B245" s="7"/>
      <c r="C245" s="7"/>
      <c r="D245" s="7"/>
      <c r="E245" s="7"/>
      <c r="F245" s="7" t="s">
        <v>22</v>
      </c>
      <c r="G245" s="8">
        <v>1216.0</v>
      </c>
      <c r="H245" s="9">
        <v>39.2922788889</v>
      </c>
      <c r="I245" s="9">
        <v>-112.912083333</v>
      </c>
      <c r="J245" s="10">
        <v>1376.64</v>
      </c>
      <c r="K245" s="11">
        <v>-289.104</v>
      </c>
      <c r="L245" s="11">
        <v>-515.126</v>
      </c>
      <c r="M245" s="11">
        <v>6.567</v>
      </c>
      <c r="N245" s="11">
        <v>-289.104</v>
      </c>
      <c r="O245" s="11">
        <v>-515.126</v>
      </c>
      <c r="P245" s="11">
        <v>3.067</v>
      </c>
      <c r="Q245" s="11">
        <v>1392.06</v>
      </c>
      <c r="R245" s="11">
        <v>-19.923</v>
      </c>
      <c r="S245" s="12">
        <v>0.89</v>
      </c>
      <c r="T245" s="13">
        <f t="shared" si="1"/>
        <v>1373.027</v>
      </c>
      <c r="U245" s="14">
        <f t="shared" si="2"/>
        <v>3.613</v>
      </c>
      <c r="V245" s="14">
        <f t="shared" si="3"/>
        <v>-1.181082517</v>
      </c>
      <c r="W245" s="15" t="str">
        <f t="shared" si="4"/>
        <v/>
      </c>
      <c r="X245" s="11">
        <f t="shared" si="5"/>
        <v>1372.088</v>
      </c>
      <c r="Y245" s="14">
        <f t="shared" si="6"/>
        <v>0.939</v>
      </c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</row>
    <row r="246">
      <c r="A246" s="7"/>
      <c r="B246" s="7"/>
      <c r="C246" s="7"/>
      <c r="D246" s="7"/>
      <c r="E246" s="7"/>
      <c r="F246" s="7" t="s">
        <v>22</v>
      </c>
      <c r="G246" s="8">
        <v>1217.0</v>
      </c>
      <c r="H246" s="9">
        <v>39.3029883333</v>
      </c>
      <c r="I246" s="9">
        <v>-112.912097222</v>
      </c>
      <c r="J246" s="10">
        <v>1376.33</v>
      </c>
      <c r="K246" s="11">
        <v>-290.268</v>
      </c>
      <c r="L246" s="11">
        <v>674.057</v>
      </c>
      <c r="M246" s="11">
        <v>6.242</v>
      </c>
      <c r="N246" s="11">
        <v>-290.268</v>
      </c>
      <c r="O246" s="11">
        <v>674.057</v>
      </c>
      <c r="P246" s="11">
        <v>2.132</v>
      </c>
      <c r="Q246" s="11">
        <v>1391.13</v>
      </c>
      <c r="R246" s="11">
        <v>-19.911</v>
      </c>
      <c r="S246" s="12">
        <v>0.89</v>
      </c>
      <c r="T246" s="13">
        <f t="shared" si="1"/>
        <v>1372.109</v>
      </c>
      <c r="U246" s="14">
        <f t="shared" si="2"/>
        <v>4.221</v>
      </c>
      <c r="V246" s="14">
        <f t="shared" si="3"/>
        <v>-0.4163347319</v>
      </c>
      <c r="W246" s="15" t="str">
        <f t="shared" si="4"/>
        <v/>
      </c>
      <c r="X246" s="11">
        <f t="shared" si="5"/>
        <v>1371.778</v>
      </c>
      <c r="Y246" s="14">
        <f t="shared" si="6"/>
        <v>0.331</v>
      </c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</row>
    <row r="247">
      <c r="A247" s="7"/>
      <c r="B247" s="7"/>
      <c r="C247" s="7"/>
      <c r="D247" s="7"/>
      <c r="E247" s="7"/>
      <c r="F247" s="7" t="s">
        <v>22</v>
      </c>
      <c r="G247" s="8">
        <v>1218.0</v>
      </c>
      <c r="H247" s="9">
        <v>39.3138577778</v>
      </c>
      <c r="I247" s="9">
        <v>-112.912046944</v>
      </c>
      <c r="J247" s="10">
        <v>1377.1</v>
      </c>
      <c r="K247" s="11">
        <v>-285.91</v>
      </c>
      <c r="L247" s="11">
        <v>1881.121</v>
      </c>
      <c r="M247" s="11">
        <v>6.77</v>
      </c>
      <c r="N247" s="11">
        <v>-285.91</v>
      </c>
      <c r="O247" s="11">
        <v>1881.119</v>
      </c>
      <c r="P247" s="11">
        <v>2.57</v>
      </c>
      <c r="Q247" s="11">
        <v>1391.8</v>
      </c>
      <c r="R247" s="11">
        <v>-19.899</v>
      </c>
      <c r="S247" s="12">
        <v>0.89</v>
      </c>
      <c r="T247" s="13">
        <f t="shared" si="1"/>
        <v>1372.791</v>
      </c>
      <c r="U247" s="14">
        <f t="shared" si="2"/>
        <v>4.309</v>
      </c>
      <c r="V247" s="14">
        <f t="shared" si="3"/>
        <v>-0.3056475524</v>
      </c>
      <c r="W247" s="15" t="str">
        <f t="shared" si="4"/>
        <v/>
      </c>
      <c r="X247" s="11">
        <f t="shared" si="5"/>
        <v>1372.548</v>
      </c>
      <c r="Y247" s="14">
        <f t="shared" si="6"/>
        <v>0.243</v>
      </c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</row>
    <row r="248">
      <c r="A248" s="7"/>
      <c r="B248" s="7"/>
      <c r="C248" s="7"/>
      <c r="D248" s="7"/>
      <c r="E248" s="7"/>
      <c r="F248" s="7" t="s">
        <v>22</v>
      </c>
      <c r="G248" s="8">
        <v>1219.0</v>
      </c>
      <c r="H248" s="9">
        <v>39.3246613889</v>
      </c>
      <c r="I248" s="9">
        <v>-112.911967222</v>
      </c>
      <c r="J248" s="10">
        <v>1377.04</v>
      </c>
      <c r="K248" s="11">
        <v>-278.966</v>
      </c>
      <c r="L248" s="11">
        <v>3080.746</v>
      </c>
      <c r="M248" s="11">
        <v>6.242</v>
      </c>
      <c r="N248" s="11">
        <v>-278.966</v>
      </c>
      <c r="O248" s="11">
        <v>3080.744</v>
      </c>
      <c r="P248" s="11">
        <v>1.802</v>
      </c>
      <c r="Q248" s="11">
        <v>1391.48</v>
      </c>
      <c r="R248" s="11">
        <v>-19.884</v>
      </c>
      <c r="S248" s="12">
        <v>0.89</v>
      </c>
      <c r="T248" s="13">
        <f t="shared" si="1"/>
        <v>1372.486</v>
      </c>
      <c r="U248" s="14">
        <f t="shared" si="2"/>
        <v>4.554</v>
      </c>
      <c r="V248" s="14">
        <f t="shared" si="3"/>
        <v>0.002515617715</v>
      </c>
      <c r="W248" s="15" t="str">
        <f t="shared" si="4"/>
        <v/>
      </c>
      <c r="X248" s="11">
        <f t="shared" si="5"/>
        <v>1372.488</v>
      </c>
      <c r="Y248" s="14">
        <f t="shared" si="6"/>
        <v>-0.002</v>
      </c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</row>
    <row r="249">
      <c r="A249" s="7"/>
      <c r="B249" s="7"/>
      <c r="C249" s="7"/>
      <c r="D249" s="7"/>
      <c r="E249" s="7"/>
      <c r="F249" s="7" t="s">
        <v>22</v>
      </c>
      <c r="G249" s="8">
        <v>1220.0</v>
      </c>
      <c r="H249" s="9">
        <v>39.335455</v>
      </c>
      <c r="I249" s="9">
        <v>-112.911966944</v>
      </c>
      <c r="J249" s="10">
        <v>1376.93</v>
      </c>
      <c r="K249" s="11">
        <v>-278.923</v>
      </c>
      <c r="L249" s="11">
        <v>4279.374</v>
      </c>
      <c r="M249" s="11">
        <v>5.439</v>
      </c>
      <c r="N249" s="11">
        <v>-278.923</v>
      </c>
      <c r="O249" s="11">
        <v>4279.371</v>
      </c>
      <c r="P249" s="11">
        <v>0.429</v>
      </c>
      <c r="Q249" s="11">
        <v>1390.79</v>
      </c>
      <c r="R249" s="11">
        <v>-19.868</v>
      </c>
      <c r="S249" s="12">
        <v>0.89</v>
      </c>
      <c r="T249" s="13">
        <f t="shared" si="1"/>
        <v>1371.812</v>
      </c>
      <c r="U249" s="14">
        <f t="shared" si="2"/>
        <v>5.118</v>
      </c>
      <c r="V249" s="14">
        <f t="shared" si="3"/>
        <v>0.7119198135</v>
      </c>
      <c r="W249" s="15" t="str">
        <f t="shared" si="4"/>
        <v/>
      </c>
      <c r="X249" s="11">
        <f t="shared" si="5"/>
        <v>1372.378</v>
      </c>
      <c r="Y249" s="14">
        <f t="shared" si="6"/>
        <v>-0.566</v>
      </c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</row>
    <row r="250">
      <c r="A250" s="7"/>
      <c r="B250" s="7"/>
      <c r="C250" s="7"/>
      <c r="D250" s="7"/>
      <c r="E250" s="7"/>
      <c r="F250" s="7" t="s">
        <v>22</v>
      </c>
      <c r="G250" s="8">
        <v>1221.0</v>
      </c>
      <c r="H250" s="9">
        <v>39.3463283333</v>
      </c>
      <c r="I250" s="9">
        <v>-112.912026111</v>
      </c>
      <c r="J250" s="10">
        <v>1378.65</v>
      </c>
      <c r="K250" s="11">
        <v>-283.967</v>
      </c>
      <c r="L250" s="11">
        <v>5486.779</v>
      </c>
      <c r="M250" s="11">
        <v>6.232</v>
      </c>
      <c r="N250" s="11">
        <v>-283.967</v>
      </c>
      <c r="O250" s="11">
        <v>5486.775</v>
      </c>
      <c r="P250" s="11">
        <v>2.012</v>
      </c>
      <c r="Q250" s="11">
        <v>1393.28</v>
      </c>
      <c r="R250" s="11">
        <v>-19.848</v>
      </c>
      <c r="S250" s="12">
        <v>0.89</v>
      </c>
      <c r="T250" s="13">
        <f t="shared" si="1"/>
        <v>1374.322</v>
      </c>
      <c r="U250" s="14">
        <f t="shared" si="2"/>
        <v>4.328</v>
      </c>
      <c r="V250" s="14">
        <f t="shared" si="3"/>
        <v>-0.2817491841</v>
      </c>
      <c r="W250" s="15" t="str">
        <f t="shared" si="4"/>
        <v/>
      </c>
      <c r="X250" s="11">
        <f t="shared" si="5"/>
        <v>1374.098</v>
      </c>
      <c r="Y250" s="14">
        <f t="shared" si="6"/>
        <v>0.224</v>
      </c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</row>
    <row r="251">
      <c r="A251" s="7"/>
      <c r="B251" s="7"/>
      <c r="C251" s="7"/>
      <c r="D251" s="7"/>
      <c r="E251" s="7"/>
      <c r="F251" s="7" t="s">
        <v>22</v>
      </c>
      <c r="G251" s="8">
        <v>1222.0</v>
      </c>
      <c r="H251" s="9">
        <v>39.3570880556</v>
      </c>
      <c r="I251" s="9">
        <v>-112.911850556</v>
      </c>
      <c r="J251" s="10">
        <v>1385.73</v>
      </c>
      <c r="K251" s="11">
        <v>-268.838</v>
      </c>
      <c r="L251" s="11">
        <v>6681.643</v>
      </c>
      <c r="M251" s="11">
        <v>12.17</v>
      </c>
      <c r="N251" s="11">
        <v>-268.838</v>
      </c>
      <c r="O251" s="11">
        <v>6681.638</v>
      </c>
      <c r="P251" s="11">
        <v>7.31</v>
      </c>
      <c r="Q251" s="11">
        <v>1399.7</v>
      </c>
      <c r="R251" s="11">
        <v>-19.827</v>
      </c>
      <c r="S251" s="12">
        <v>0.89</v>
      </c>
      <c r="T251" s="13">
        <f t="shared" si="1"/>
        <v>1380.763</v>
      </c>
      <c r="U251" s="14">
        <f t="shared" si="2"/>
        <v>4.967</v>
      </c>
      <c r="V251" s="14">
        <f t="shared" si="3"/>
        <v>0.521990676</v>
      </c>
      <c r="W251" s="15" t="str">
        <f t="shared" si="4"/>
        <v/>
      </c>
      <c r="X251" s="11">
        <f t="shared" si="5"/>
        <v>1381.178</v>
      </c>
      <c r="Y251" s="14">
        <f t="shared" si="6"/>
        <v>-0.415</v>
      </c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</row>
    <row r="252">
      <c r="A252" s="7"/>
      <c r="B252" s="7"/>
      <c r="C252" s="7"/>
      <c r="D252" s="7"/>
      <c r="E252" s="7"/>
      <c r="F252" s="7" t="s">
        <v>22</v>
      </c>
      <c r="G252" s="8">
        <v>1223.0</v>
      </c>
      <c r="H252" s="9">
        <v>39.3679497222</v>
      </c>
      <c r="I252" s="9">
        <v>-112.911930556</v>
      </c>
      <c r="J252" s="10">
        <v>1393.13</v>
      </c>
      <c r="K252" s="11">
        <v>-275.692</v>
      </c>
      <c r="L252" s="11">
        <v>7887.84</v>
      </c>
      <c r="M252" s="11">
        <v>18.189</v>
      </c>
      <c r="N252" s="11">
        <v>-275.692</v>
      </c>
      <c r="O252" s="11">
        <v>7887.833</v>
      </c>
      <c r="P252" s="11">
        <v>12.579</v>
      </c>
      <c r="Q252" s="11">
        <v>1406.32</v>
      </c>
      <c r="R252" s="11">
        <v>-19.803</v>
      </c>
      <c r="S252" s="12">
        <v>0.89</v>
      </c>
      <c r="T252" s="13">
        <f t="shared" si="1"/>
        <v>1387.407</v>
      </c>
      <c r="U252" s="14">
        <f t="shared" si="2"/>
        <v>5.723</v>
      </c>
      <c r="V252" s="14">
        <f t="shared" si="3"/>
        <v>1.472894172</v>
      </c>
      <c r="W252" s="15" t="str">
        <f t="shared" si="4"/>
        <v/>
      </c>
      <c r="X252" s="11">
        <f t="shared" si="5"/>
        <v>1388.578</v>
      </c>
      <c r="Y252" s="14">
        <f t="shared" si="6"/>
        <v>-1.171</v>
      </c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</row>
    <row r="253">
      <c r="A253" s="7"/>
      <c r="B253" s="7"/>
      <c r="C253" s="7"/>
      <c r="D253" s="7"/>
      <c r="E253" s="7"/>
      <c r="F253" s="7" t="s">
        <v>22</v>
      </c>
      <c r="G253" s="8">
        <v>1224.0</v>
      </c>
      <c r="H253" s="9">
        <v>39.3787858333</v>
      </c>
      <c r="I253" s="9">
        <v>-112.9118825</v>
      </c>
      <c r="J253" s="10">
        <v>1403.67</v>
      </c>
      <c r="K253" s="11">
        <v>-271.513</v>
      </c>
      <c r="L253" s="11">
        <v>9091.158</v>
      </c>
      <c r="M253" s="11">
        <v>27.123</v>
      </c>
      <c r="N253" s="11">
        <v>-271.513</v>
      </c>
      <c r="O253" s="11">
        <v>9091.153</v>
      </c>
      <c r="P253" s="11">
        <v>23.483</v>
      </c>
      <c r="Q253" s="11">
        <v>1418.81</v>
      </c>
      <c r="R253" s="11">
        <v>-19.777</v>
      </c>
      <c r="S253" s="12">
        <v>0.89</v>
      </c>
      <c r="T253" s="13">
        <f t="shared" si="1"/>
        <v>1399.923</v>
      </c>
      <c r="U253" s="14">
        <f t="shared" si="2"/>
        <v>3.747</v>
      </c>
      <c r="V253" s="14">
        <f t="shared" si="3"/>
        <v>-1.012536131</v>
      </c>
      <c r="W253" s="15" t="str">
        <f t="shared" si="4"/>
        <v/>
      </c>
      <c r="X253" s="11">
        <f t="shared" si="5"/>
        <v>1399.118</v>
      </c>
      <c r="Y253" s="14">
        <f t="shared" si="6"/>
        <v>0.805</v>
      </c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</row>
    <row r="254">
      <c r="A254" s="7"/>
      <c r="B254" s="7"/>
      <c r="C254" s="7"/>
      <c r="D254" s="7"/>
      <c r="E254" s="7"/>
      <c r="F254" s="7" t="s">
        <v>22</v>
      </c>
      <c r="G254" s="8">
        <v>1225.0</v>
      </c>
      <c r="H254" s="9">
        <v>39.3895302778</v>
      </c>
      <c r="I254" s="9">
        <v>-112.911948889</v>
      </c>
      <c r="J254" s="10">
        <v>1414.91</v>
      </c>
      <c r="K254" s="11">
        <v>-277.159</v>
      </c>
      <c r="L254" s="11">
        <v>10284.268</v>
      </c>
      <c r="M254" s="11">
        <v>36.546</v>
      </c>
      <c r="N254" s="11">
        <v>-277.159</v>
      </c>
      <c r="O254" s="11">
        <v>10284.26</v>
      </c>
      <c r="P254" s="11">
        <v>31.886</v>
      </c>
      <c r="Q254" s="11">
        <v>1429.0</v>
      </c>
      <c r="R254" s="11">
        <v>-19.751</v>
      </c>
      <c r="S254" s="12">
        <v>0.89</v>
      </c>
      <c r="T254" s="13">
        <f t="shared" si="1"/>
        <v>1410.139</v>
      </c>
      <c r="U254" s="14">
        <f t="shared" si="2"/>
        <v>4.771</v>
      </c>
      <c r="V254" s="14">
        <f t="shared" si="3"/>
        <v>0.2754601399</v>
      </c>
      <c r="W254" s="15" t="str">
        <f t="shared" si="4"/>
        <v/>
      </c>
      <c r="X254" s="11">
        <f t="shared" si="5"/>
        <v>1410.358</v>
      </c>
      <c r="Y254" s="14">
        <f t="shared" si="6"/>
        <v>-0.219</v>
      </c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</row>
    <row r="255">
      <c r="A255" s="7"/>
      <c r="B255" s="7"/>
      <c r="C255" s="7"/>
      <c r="D255" s="7"/>
      <c r="E255" s="7"/>
      <c r="F255" s="7" t="s">
        <v>22</v>
      </c>
      <c r="G255" s="8">
        <v>1226.0</v>
      </c>
      <c r="H255" s="9">
        <v>39.4003627778</v>
      </c>
      <c r="I255" s="9">
        <v>-112.911933611</v>
      </c>
      <c r="J255" s="10">
        <v>1426.33</v>
      </c>
      <c r="K255" s="11">
        <v>-275.824</v>
      </c>
      <c r="L255" s="11">
        <v>11487.266</v>
      </c>
      <c r="M255" s="11">
        <v>45.908</v>
      </c>
      <c r="N255" s="11">
        <v>-275.824</v>
      </c>
      <c r="O255" s="11">
        <v>11487.258</v>
      </c>
      <c r="P255" s="11">
        <v>41.188</v>
      </c>
      <c r="Q255" s="11">
        <v>1440.33</v>
      </c>
      <c r="R255" s="11">
        <v>-19.724</v>
      </c>
      <c r="S255" s="12">
        <v>0.89</v>
      </c>
      <c r="T255" s="13">
        <f t="shared" si="1"/>
        <v>1421.496</v>
      </c>
      <c r="U255" s="14">
        <f t="shared" si="2"/>
        <v>4.834</v>
      </c>
      <c r="V255" s="14">
        <f t="shared" si="3"/>
        <v>0.3547020979</v>
      </c>
      <c r="W255" s="15" t="str">
        <f t="shared" si="4"/>
        <v/>
      </c>
      <c r="X255" s="11">
        <f t="shared" si="5"/>
        <v>1421.778</v>
      </c>
      <c r="Y255" s="14">
        <f t="shared" si="6"/>
        <v>-0.282</v>
      </c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</row>
    <row r="256">
      <c r="A256" s="7"/>
      <c r="B256" s="7"/>
      <c r="C256" s="7"/>
      <c r="D256" s="7"/>
      <c r="E256" s="7"/>
      <c r="F256" s="7" t="s">
        <v>31</v>
      </c>
      <c r="G256" s="8">
        <v>1229.0</v>
      </c>
      <c r="H256" s="9">
        <v>39.43226722222222</v>
      </c>
      <c r="I256" s="9">
        <v>-112.91364583333333</v>
      </c>
      <c r="J256" s="13">
        <v>1449.03</v>
      </c>
      <c r="K256" s="10">
        <v>-423.131</v>
      </c>
      <c r="L256" s="10">
        <v>15030.205</v>
      </c>
      <c r="M256" s="10">
        <v>61.217</v>
      </c>
      <c r="N256" s="10">
        <v>-423.131</v>
      </c>
      <c r="O256" s="10">
        <v>15030.195</v>
      </c>
      <c r="P256" s="10">
        <v>56.857</v>
      </c>
      <c r="Q256" s="13">
        <v>1463.32</v>
      </c>
      <c r="R256" s="13">
        <v>-19.647</v>
      </c>
      <c r="S256" s="12">
        <v>0.89</v>
      </c>
      <c r="T256" s="13">
        <f t="shared" si="1"/>
        <v>1444.563</v>
      </c>
      <c r="U256" s="14">
        <f t="shared" si="2"/>
        <v>4.467</v>
      </c>
      <c r="V256" s="14">
        <f t="shared" si="3"/>
        <v>-0.1069137529</v>
      </c>
      <c r="W256" s="15" t="str">
        <f t="shared" si="4"/>
        <v/>
      </c>
      <c r="X256" s="11">
        <f t="shared" si="5"/>
        <v>1444.478</v>
      </c>
      <c r="Y256" s="14">
        <f t="shared" si="6"/>
        <v>0.085</v>
      </c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</row>
    <row r="257">
      <c r="A257" s="7"/>
      <c r="B257" s="7"/>
      <c r="C257" s="7"/>
      <c r="D257" s="7"/>
      <c r="E257" s="7"/>
      <c r="F257" s="7" t="s">
        <v>22</v>
      </c>
      <c r="G257" s="8">
        <v>1301.0</v>
      </c>
      <c r="H257" s="9">
        <v>39.1298605556</v>
      </c>
      <c r="I257" s="9">
        <v>-112.898638889</v>
      </c>
      <c r="J257" s="10">
        <v>1373.66</v>
      </c>
      <c r="K257" s="11">
        <v>872.953</v>
      </c>
      <c r="L257" s="11">
        <v>-18550.517</v>
      </c>
      <c r="M257" s="11">
        <v>-23.489</v>
      </c>
      <c r="N257" s="11">
        <v>872.952</v>
      </c>
      <c r="O257" s="11">
        <v>-18550.507</v>
      </c>
      <c r="P257" s="11">
        <v>-27.119</v>
      </c>
      <c r="Q257" s="11">
        <v>1389.08</v>
      </c>
      <c r="R257" s="11">
        <v>-20.046</v>
      </c>
      <c r="S257" s="12">
        <v>0.89</v>
      </c>
      <c r="T257" s="13">
        <f t="shared" si="1"/>
        <v>1369.924</v>
      </c>
      <c r="U257" s="14">
        <f t="shared" si="2"/>
        <v>3.736</v>
      </c>
      <c r="V257" s="14">
        <f t="shared" si="3"/>
        <v>-1.026372028</v>
      </c>
      <c r="W257" s="15" t="str">
        <f t="shared" si="4"/>
        <v/>
      </c>
      <c r="X257" s="11">
        <f t="shared" si="5"/>
        <v>1369.108</v>
      </c>
      <c r="Y257" s="14">
        <f t="shared" si="6"/>
        <v>0.816</v>
      </c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</row>
    <row r="258">
      <c r="A258" s="7"/>
      <c r="B258" s="7"/>
      <c r="C258" s="7"/>
      <c r="D258" s="7"/>
      <c r="E258" s="7"/>
      <c r="F258" s="7" t="s">
        <v>22</v>
      </c>
      <c r="G258" s="8">
        <v>1302.0</v>
      </c>
      <c r="H258" s="9">
        <v>39.1403694444</v>
      </c>
      <c r="I258" s="9">
        <v>-112.898486667</v>
      </c>
      <c r="J258" s="10">
        <v>1376.23</v>
      </c>
      <c r="K258" s="11">
        <v>885.967</v>
      </c>
      <c r="L258" s="11">
        <v>-17383.698</v>
      </c>
      <c r="M258" s="11">
        <v>-17.626</v>
      </c>
      <c r="N258" s="11">
        <v>885.966</v>
      </c>
      <c r="O258" s="11">
        <v>-17383.679</v>
      </c>
      <c r="P258" s="11">
        <v>-24.326</v>
      </c>
      <c r="Q258" s="11">
        <v>1388.57</v>
      </c>
      <c r="R258" s="11">
        <v>-20.045</v>
      </c>
      <c r="S258" s="12">
        <v>0.89</v>
      </c>
      <c r="T258" s="13">
        <f t="shared" si="1"/>
        <v>1369.415</v>
      </c>
      <c r="U258" s="14">
        <f t="shared" si="2"/>
        <v>6.815</v>
      </c>
      <c r="V258" s="14">
        <f t="shared" si="3"/>
        <v>2.846421445</v>
      </c>
      <c r="W258" s="15" t="str">
        <f t="shared" si="4"/>
        <v/>
      </c>
      <c r="X258" s="11">
        <f t="shared" si="5"/>
        <v>1371.678</v>
      </c>
      <c r="Y258" s="14">
        <f t="shared" si="6"/>
        <v>-2.263</v>
      </c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</row>
    <row r="259">
      <c r="A259" s="7"/>
      <c r="B259" s="7"/>
      <c r="C259" s="7"/>
      <c r="D259" s="7"/>
      <c r="E259" s="7"/>
      <c r="F259" s="7" t="s">
        <v>22</v>
      </c>
      <c r="G259" s="8">
        <v>1303.0</v>
      </c>
      <c r="H259" s="9">
        <v>39.1515902778</v>
      </c>
      <c r="I259" s="9">
        <v>-112.898467778</v>
      </c>
      <c r="J259" s="10">
        <v>1374.12</v>
      </c>
      <c r="K259" s="11">
        <v>887.469</v>
      </c>
      <c r="L259" s="11">
        <v>-16137.691</v>
      </c>
      <c r="M259" s="11">
        <v>-16.454</v>
      </c>
      <c r="N259" s="11">
        <v>887.468</v>
      </c>
      <c r="O259" s="11">
        <v>-16137.679</v>
      </c>
      <c r="P259" s="11">
        <v>-21.224</v>
      </c>
      <c r="Q259" s="11">
        <v>1388.39</v>
      </c>
      <c r="R259" s="11">
        <v>-20.041</v>
      </c>
      <c r="S259" s="12">
        <v>0.89</v>
      </c>
      <c r="T259" s="13">
        <f t="shared" si="1"/>
        <v>1369.239</v>
      </c>
      <c r="U259" s="14">
        <f t="shared" si="2"/>
        <v>4.881</v>
      </c>
      <c r="V259" s="14">
        <f t="shared" si="3"/>
        <v>0.4138191142</v>
      </c>
      <c r="W259" s="15" t="str">
        <f t="shared" si="4"/>
        <v/>
      </c>
      <c r="X259" s="11">
        <f t="shared" si="5"/>
        <v>1369.568</v>
      </c>
      <c r="Y259" s="14">
        <f t="shared" si="6"/>
        <v>-0.329</v>
      </c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</row>
    <row r="260">
      <c r="A260" s="7"/>
      <c r="B260" s="7"/>
      <c r="C260" s="7"/>
      <c r="D260" s="7"/>
      <c r="E260" s="7"/>
      <c r="F260" s="7" t="s">
        <v>22</v>
      </c>
      <c r="G260" s="8">
        <v>1304.0</v>
      </c>
      <c r="H260" s="9">
        <v>39.1624441667</v>
      </c>
      <c r="I260" s="9">
        <v>-112.898431389</v>
      </c>
      <c r="J260" s="10">
        <v>1374.15</v>
      </c>
      <c r="K260" s="11">
        <v>890.531</v>
      </c>
      <c r="L260" s="11">
        <v>-14932.439</v>
      </c>
      <c r="M260" s="11">
        <v>-13.481</v>
      </c>
      <c r="N260" s="11">
        <v>890.531</v>
      </c>
      <c r="O260" s="11">
        <v>-14932.428</v>
      </c>
      <c r="P260" s="11">
        <v>-18.121</v>
      </c>
      <c r="Q260" s="11">
        <v>1388.54</v>
      </c>
      <c r="R260" s="11">
        <v>-20.034</v>
      </c>
      <c r="S260" s="12">
        <v>0.89</v>
      </c>
      <c r="T260" s="13">
        <f t="shared" si="1"/>
        <v>1369.396</v>
      </c>
      <c r="U260" s="14">
        <f t="shared" si="2"/>
        <v>4.754</v>
      </c>
      <c r="V260" s="14">
        <f t="shared" si="3"/>
        <v>0.2540773893</v>
      </c>
      <c r="W260" s="15" t="str">
        <f t="shared" si="4"/>
        <v/>
      </c>
      <c r="X260" s="11">
        <f t="shared" si="5"/>
        <v>1369.598</v>
      </c>
      <c r="Y260" s="14">
        <f t="shared" si="6"/>
        <v>-0.202</v>
      </c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</row>
    <row r="261">
      <c r="A261" s="7"/>
      <c r="B261" s="7"/>
      <c r="C261" s="7"/>
      <c r="D261" s="7"/>
      <c r="E261" s="7"/>
      <c r="F261" s="7" t="s">
        <v>22</v>
      </c>
      <c r="G261" s="8">
        <v>1305.0</v>
      </c>
      <c r="H261" s="9">
        <v>39.1731613889</v>
      </c>
      <c r="I261" s="9">
        <v>-112.898661111</v>
      </c>
      <c r="J261" s="10">
        <v>1374.02</v>
      </c>
      <c r="K261" s="11">
        <v>870.516</v>
      </c>
      <c r="L261" s="11">
        <v>-13742.4</v>
      </c>
      <c r="M261" s="11">
        <v>-10.927</v>
      </c>
      <c r="N261" s="11">
        <v>870.516</v>
      </c>
      <c r="O261" s="11">
        <v>-13742.389</v>
      </c>
      <c r="P261" s="11">
        <v>-15.877</v>
      </c>
      <c r="Q261" s="11">
        <v>1388.1</v>
      </c>
      <c r="R261" s="11">
        <v>-20.027</v>
      </c>
      <c r="S261" s="12">
        <v>0.89</v>
      </c>
      <c r="T261" s="13">
        <f t="shared" si="1"/>
        <v>1368.963</v>
      </c>
      <c r="U261" s="14">
        <f t="shared" si="2"/>
        <v>5.057</v>
      </c>
      <c r="V261" s="14">
        <f t="shared" si="3"/>
        <v>0.6351934732</v>
      </c>
      <c r="W261" s="15" t="str">
        <f t="shared" si="4"/>
        <v/>
      </c>
      <c r="X261" s="11">
        <f t="shared" si="5"/>
        <v>1369.468</v>
      </c>
      <c r="Y261" s="14">
        <f t="shared" si="6"/>
        <v>-0.505</v>
      </c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</row>
    <row r="262">
      <c r="A262" s="7"/>
      <c r="B262" s="7"/>
      <c r="C262" s="7"/>
      <c r="D262" s="7"/>
      <c r="E262" s="7"/>
      <c r="F262" s="7" t="s">
        <v>22</v>
      </c>
      <c r="G262" s="8">
        <v>1306.0</v>
      </c>
      <c r="H262" s="9">
        <v>39.1841416667</v>
      </c>
      <c r="I262" s="9">
        <v>-112.897935833</v>
      </c>
      <c r="J262" s="10">
        <v>1375.16</v>
      </c>
      <c r="K262" s="11">
        <v>933.036</v>
      </c>
      <c r="L262" s="11">
        <v>-12523.036</v>
      </c>
      <c r="M262" s="11">
        <v>-7.279</v>
      </c>
      <c r="N262" s="11">
        <v>933.035</v>
      </c>
      <c r="O262" s="11">
        <v>-12523.026</v>
      </c>
      <c r="P262" s="11">
        <v>-12.309</v>
      </c>
      <c r="Q262" s="11">
        <v>1389.15</v>
      </c>
      <c r="R262" s="11">
        <v>-20.016</v>
      </c>
      <c r="S262" s="12">
        <v>0.89</v>
      </c>
      <c r="T262" s="13">
        <f t="shared" si="1"/>
        <v>1370.024</v>
      </c>
      <c r="U262" s="14">
        <f t="shared" si="2"/>
        <v>5.136</v>
      </c>
      <c r="V262" s="14">
        <f t="shared" si="3"/>
        <v>0.734560373</v>
      </c>
      <c r="W262" s="15" t="str">
        <f t="shared" si="4"/>
        <v/>
      </c>
      <c r="X262" s="11">
        <f t="shared" si="5"/>
        <v>1370.608</v>
      </c>
      <c r="Y262" s="14">
        <f t="shared" si="6"/>
        <v>-0.584</v>
      </c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</row>
    <row r="263">
      <c r="A263" s="7"/>
      <c r="B263" s="7"/>
      <c r="C263" s="7"/>
      <c r="D263" s="7"/>
      <c r="E263" s="7"/>
      <c r="F263" s="7" t="s">
        <v>22</v>
      </c>
      <c r="G263" s="8">
        <v>1307.0</v>
      </c>
      <c r="H263" s="9">
        <v>39.1950544444</v>
      </c>
      <c r="I263" s="9">
        <v>-112.897951111</v>
      </c>
      <c r="J263" s="10">
        <v>1374.12</v>
      </c>
      <c r="K263" s="11">
        <v>931.595</v>
      </c>
      <c r="L263" s="11">
        <v>-11311.334</v>
      </c>
      <c r="M263" s="11">
        <v>-6.049</v>
      </c>
      <c r="N263" s="11">
        <v>931.594</v>
      </c>
      <c r="O263" s="11">
        <v>-11311.325</v>
      </c>
      <c r="P263" s="11">
        <v>-11.029</v>
      </c>
      <c r="Q263" s="11">
        <v>1388.15</v>
      </c>
      <c r="R263" s="11">
        <v>-20.006</v>
      </c>
      <c r="S263" s="12">
        <v>0.89</v>
      </c>
      <c r="T263" s="13">
        <f t="shared" si="1"/>
        <v>1369.034</v>
      </c>
      <c r="U263" s="14">
        <f t="shared" si="2"/>
        <v>5.086</v>
      </c>
      <c r="V263" s="14">
        <f t="shared" si="3"/>
        <v>0.6716699301</v>
      </c>
      <c r="W263" s="15" t="str">
        <f t="shared" si="4"/>
        <v/>
      </c>
      <c r="X263" s="11">
        <f t="shared" si="5"/>
        <v>1369.568</v>
      </c>
      <c r="Y263" s="14">
        <f t="shared" si="6"/>
        <v>-0.534</v>
      </c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</row>
    <row r="264">
      <c r="A264" s="7"/>
      <c r="B264" s="7"/>
      <c r="C264" s="7"/>
      <c r="D264" s="7"/>
      <c r="E264" s="7"/>
      <c r="F264" s="7" t="s">
        <v>22</v>
      </c>
      <c r="G264" s="8">
        <v>1308.0</v>
      </c>
      <c r="H264" s="9">
        <v>39.2056972222</v>
      </c>
      <c r="I264" s="9">
        <v>-112.898382222</v>
      </c>
      <c r="J264" s="10">
        <v>1374.96</v>
      </c>
      <c r="K264" s="11">
        <v>894.219</v>
      </c>
      <c r="L264" s="11">
        <v>-10129.508</v>
      </c>
      <c r="M264" s="11">
        <v>-3.212</v>
      </c>
      <c r="N264" s="11">
        <v>894.218</v>
      </c>
      <c r="O264" s="11">
        <v>-10129.501</v>
      </c>
      <c r="P264" s="11">
        <v>-7.592</v>
      </c>
      <c r="Q264" s="11">
        <v>1389.57</v>
      </c>
      <c r="R264" s="11">
        <v>-19.995</v>
      </c>
      <c r="S264" s="12">
        <v>0.89</v>
      </c>
      <c r="T264" s="13">
        <f t="shared" si="1"/>
        <v>1370.465</v>
      </c>
      <c r="U264" s="14">
        <f t="shared" si="2"/>
        <v>4.495</v>
      </c>
      <c r="V264" s="14">
        <f t="shared" si="3"/>
        <v>-0.0716951049</v>
      </c>
      <c r="W264" s="15" t="str">
        <f t="shared" si="4"/>
        <v/>
      </c>
      <c r="X264" s="11">
        <f t="shared" si="5"/>
        <v>1370.408</v>
      </c>
      <c r="Y264" s="14">
        <f t="shared" si="6"/>
        <v>0.057</v>
      </c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</row>
    <row r="265">
      <c r="A265" s="7"/>
      <c r="B265" s="7"/>
      <c r="C265" s="7"/>
      <c r="D265" s="7"/>
      <c r="E265" s="7"/>
      <c r="F265" s="7" t="s">
        <v>22</v>
      </c>
      <c r="G265" s="8">
        <v>1309.0</v>
      </c>
      <c r="H265" s="9">
        <v>39.2164366667</v>
      </c>
      <c r="I265" s="9">
        <v>-112.898346667</v>
      </c>
      <c r="J265" s="10">
        <v>1375.25</v>
      </c>
      <c r="K265" s="11">
        <v>897.106</v>
      </c>
      <c r="L265" s="11">
        <v>-8936.902</v>
      </c>
      <c r="M265" s="11">
        <v>-1.136</v>
      </c>
      <c r="N265" s="11">
        <v>897.105</v>
      </c>
      <c r="O265" s="11">
        <v>-8936.894</v>
      </c>
      <c r="P265" s="11">
        <v>-6.696</v>
      </c>
      <c r="Q265" s="11">
        <v>1388.67</v>
      </c>
      <c r="R265" s="11">
        <v>-19.984</v>
      </c>
      <c r="S265" s="12">
        <v>0.89</v>
      </c>
      <c r="T265" s="13">
        <f t="shared" si="1"/>
        <v>1369.576</v>
      </c>
      <c r="U265" s="14">
        <f t="shared" si="2"/>
        <v>5.674</v>
      </c>
      <c r="V265" s="14">
        <f t="shared" si="3"/>
        <v>1.411261538</v>
      </c>
      <c r="W265" s="15" t="str">
        <f t="shared" si="4"/>
        <v/>
      </c>
      <c r="X265" s="11">
        <f t="shared" si="5"/>
        <v>1370.698</v>
      </c>
      <c r="Y265" s="14">
        <f t="shared" si="6"/>
        <v>-1.122</v>
      </c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</row>
    <row r="266">
      <c r="A266" s="7"/>
      <c r="B266" s="7"/>
      <c r="C266" s="7"/>
      <c r="D266" s="7"/>
      <c r="E266" s="7"/>
      <c r="F266" s="7" t="s">
        <v>22</v>
      </c>
      <c r="G266" s="8">
        <v>1310.0</v>
      </c>
      <c r="H266" s="9">
        <v>39.227285</v>
      </c>
      <c r="I266" s="9">
        <v>-112.898342778</v>
      </c>
      <c r="J266" s="10">
        <v>1375.43</v>
      </c>
      <c r="K266" s="11">
        <v>897.314</v>
      </c>
      <c r="L266" s="11">
        <v>-7732.301</v>
      </c>
      <c r="M266" s="11">
        <v>0.622</v>
      </c>
      <c r="N266" s="11">
        <v>897.313</v>
      </c>
      <c r="O266" s="11">
        <v>-7732.295</v>
      </c>
      <c r="P266" s="11">
        <v>-4.428</v>
      </c>
      <c r="Q266" s="11">
        <v>1389.35</v>
      </c>
      <c r="R266" s="11">
        <v>-19.972</v>
      </c>
      <c r="S266" s="12">
        <v>0.89</v>
      </c>
      <c r="T266" s="13">
        <f t="shared" si="1"/>
        <v>1370.268</v>
      </c>
      <c r="U266" s="14">
        <f t="shared" si="2"/>
        <v>5.162</v>
      </c>
      <c r="V266" s="14">
        <f t="shared" si="3"/>
        <v>0.7672634033</v>
      </c>
      <c r="W266" s="15" t="str">
        <f t="shared" si="4"/>
        <v/>
      </c>
      <c r="X266" s="11">
        <f t="shared" si="5"/>
        <v>1370.878</v>
      </c>
      <c r="Y266" s="14">
        <f t="shared" si="6"/>
        <v>-0.61</v>
      </c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</row>
    <row r="267">
      <c r="A267" s="7"/>
      <c r="B267" s="7"/>
      <c r="C267" s="7"/>
      <c r="D267" s="7"/>
      <c r="E267" s="7"/>
      <c r="F267" s="7" t="s">
        <v>22</v>
      </c>
      <c r="G267" s="8">
        <v>1311.0</v>
      </c>
      <c r="H267" s="9">
        <v>39.238125</v>
      </c>
      <c r="I267" s="9">
        <v>-112.898238611</v>
      </c>
      <c r="J267" s="10">
        <v>1376.73</v>
      </c>
      <c r="K267" s="11">
        <v>906.157</v>
      </c>
      <c r="L267" s="11">
        <v>-6528.586</v>
      </c>
      <c r="M267" s="11">
        <v>3.27</v>
      </c>
      <c r="N267" s="11">
        <v>906.156</v>
      </c>
      <c r="O267" s="11">
        <v>-6528.58</v>
      </c>
      <c r="P267" s="11">
        <v>-1.67</v>
      </c>
      <c r="Q267" s="11">
        <v>1390.75</v>
      </c>
      <c r="R267" s="11">
        <v>-19.962</v>
      </c>
      <c r="S267" s="12">
        <v>0.89</v>
      </c>
      <c r="T267" s="13">
        <f t="shared" si="1"/>
        <v>1371.678</v>
      </c>
      <c r="U267" s="14">
        <f t="shared" si="2"/>
        <v>5.052</v>
      </c>
      <c r="V267" s="14">
        <f t="shared" si="3"/>
        <v>0.6289044289</v>
      </c>
      <c r="W267" s="15" t="str">
        <f t="shared" si="4"/>
        <v/>
      </c>
      <c r="X267" s="11">
        <f t="shared" si="5"/>
        <v>1372.178</v>
      </c>
      <c r="Y267" s="14">
        <f t="shared" si="6"/>
        <v>-0.5</v>
      </c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</row>
    <row r="268">
      <c r="A268" s="7"/>
      <c r="B268" s="7"/>
      <c r="C268" s="7"/>
      <c r="D268" s="7"/>
      <c r="E268" s="7"/>
      <c r="F268" s="7" t="s">
        <v>22</v>
      </c>
      <c r="G268" s="8">
        <v>1312.0</v>
      </c>
      <c r="H268" s="9">
        <v>39.2488838889</v>
      </c>
      <c r="I268" s="9">
        <v>-112.898258333</v>
      </c>
      <c r="J268" s="10">
        <v>1376.65</v>
      </c>
      <c r="K268" s="11">
        <v>904.378</v>
      </c>
      <c r="L268" s="11">
        <v>-5333.862</v>
      </c>
      <c r="M268" s="11">
        <v>4.304</v>
      </c>
      <c r="N268" s="11">
        <v>904.377</v>
      </c>
      <c r="O268" s="11">
        <v>-5333.858</v>
      </c>
      <c r="P268" s="11">
        <v>-0.416</v>
      </c>
      <c r="Q268" s="11">
        <v>1390.88</v>
      </c>
      <c r="R268" s="11">
        <v>-19.953</v>
      </c>
      <c r="S268" s="12">
        <v>0.89</v>
      </c>
      <c r="T268" s="13">
        <f t="shared" si="1"/>
        <v>1371.817</v>
      </c>
      <c r="U268" s="14">
        <f t="shared" si="2"/>
        <v>4.833</v>
      </c>
      <c r="V268" s="14">
        <f t="shared" si="3"/>
        <v>0.353444289</v>
      </c>
      <c r="W268" s="15" t="str">
        <f t="shared" si="4"/>
        <v/>
      </c>
      <c r="X268" s="11">
        <f t="shared" si="5"/>
        <v>1372.098</v>
      </c>
      <c r="Y268" s="14">
        <f t="shared" si="6"/>
        <v>-0.281</v>
      </c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</row>
    <row r="269">
      <c r="A269" s="7"/>
      <c r="B269" s="7"/>
      <c r="C269" s="7"/>
      <c r="D269" s="7"/>
      <c r="E269" s="7"/>
      <c r="F269" s="7" t="s">
        <v>22</v>
      </c>
      <c r="G269" s="8">
        <v>1313.0</v>
      </c>
      <c r="H269" s="9">
        <v>39.2597369444</v>
      </c>
      <c r="I269" s="9">
        <v>-112.898280556</v>
      </c>
      <c r="J269" s="10">
        <v>1376.77</v>
      </c>
      <c r="K269" s="11">
        <v>902.253</v>
      </c>
      <c r="L269" s="11">
        <v>-4128.698</v>
      </c>
      <c r="M269" s="11">
        <v>5.321</v>
      </c>
      <c r="N269" s="11">
        <v>902.252</v>
      </c>
      <c r="O269" s="11">
        <v>-4128.695</v>
      </c>
      <c r="P269" s="11">
        <v>0.641</v>
      </c>
      <c r="Q269" s="11">
        <v>1391.03</v>
      </c>
      <c r="R269" s="11">
        <v>-19.942</v>
      </c>
      <c r="S269" s="12">
        <v>0.89</v>
      </c>
      <c r="T269" s="13">
        <f t="shared" si="1"/>
        <v>1371.978</v>
      </c>
      <c r="U269" s="14">
        <f t="shared" si="2"/>
        <v>4.792</v>
      </c>
      <c r="V269" s="14">
        <f t="shared" si="3"/>
        <v>0.3018741259</v>
      </c>
      <c r="W269" s="15" t="str">
        <f t="shared" si="4"/>
        <v/>
      </c>
      <c r="X269" s="11">
        <f t="shared" si="5"/>
        <v>1372.218</v>
      </c>
      <c r="Y269" s="14">
        <f t="shared" si="6"/>
        <v>-0.24</v>
      </c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</row>
    <row r="270">
      <c r="A270" s="7"/>
      <c r="B270" s="7"/>
      <c r="C270" s="7"/>
      <c r="D270" s="7"/>
      <c r="E270" s="7"/>
      <c r="F270" s="7" t="s">
        <v>22</v>
      </c>
      <c r="G270" s="8">
        <v>1314.0</v>
      </c>
      <c r="H270" s="9">
        <v>39.270555</v>
      </c>
      <c r="I270" s="9">
        <v>-112.898193056</v>
      </c>
      <c r="J270" s="10">
        <v>1376.15</v>
      </c>
      <c r="K270" s="11">
        <v>909.71</v>
      </c>
      <c r="L270" s="11">
        <v>-2927.417</v>
      </c>
      <c r="M270" s="11">
        <v>5.366</v>
      </c>
      <c r="N270" s="11">
        <v>909.709</v>
      </c>
      <c r="O270" s="11">
        <v>-2927.415</v>
      </c>
      <c r="P270" s="11">
        <v>0.556</v>
      </c>
      <c r="Q270" s="11">
        <v>1390.27</v>
      </c>
      <c r="R270" s="11">
        <v>-19.932</v>
      </c>
      <c r="S270" s="12">
        <v>0.89</v>
      </c>
      <c r="T270" s="13">
        <f t="shared" si="1"/>
        <v>1371.228</v>
      </c>
      <c r="U270" s="14">
        <f t="shared" si="2"/>
        <v>4.922</v>
      </c>
      <c r="V270" s="14">
        <f t="shared" si="3"/>
        <v>0.4653892774</v>
      </c>
      <c r="W270" s="15" t="str">
        <f t="shared" si="4"/>
        <v/>
      </c>
      <c r="X270" s="11">
        <f t="shared" si="5"/>
        <v>1371.598</v>
      </c>
      <c r="Y270" s="14">
        <f t="shared" si="6"/>
        <v>-0.37</v>
      </c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</row>
    <row r="271">
      <c r="A271" s="7"/>
      <c r="B271" s="7"/>
      <c r="C271" s="7"/>
      <c r="D271" s="7"/>
      <c r="E271" s="7"/>
      <c r="F271" s="7" t="s">
        <v>22</v>
      </c>
      <c r="G271" s="8">
        <v>1315.0</v>
      </c>
      <c r="H271" s="9">
        <v>39.2813847222</v>
      </c>
      <c r="I271" s="9">
        <v>-112.898205833</v>
      </c>
      <c r="J271" s="10">
        <v>1375.64</v>
      </c>
      <c r="K271" s="11">
        <v>908.448</v>
      </c>
      <c r="L271" s="11">
        <v>-1724.802</v>
      </c>
      <c r="M271" s="11">
        <v>5.296</v>
      </c>
      <c r="N271" s="11">
        <v>908.447</v>
      </c>
      <c r="O271" s="11">
        <v>-1724.801</v>
      </c>
      <c r="P271" s="11">
        <v>0.686</v>
      </c>
      <c r="Q271" s="11">
        <v>1389.95</v>
      </c>
      <c r="R271" s="11">
        <v>-19.922</v>
      </c>
      <c r="S271" s="12">
        <v>0.89</v>
      </c>
      <c r="T271" s="13">
        <f t="shared" si="1"/>
        <v>1370.918</v>
      </c>
      <c r="U271" s="14">
        <f t="shared" si="2"/>
        <v>4.722</v>
      </c>
      <c r="V271" s="14">
        <f t="shared" si="3"/>
        <v>0.2138275058</v>
      </c>
      <c r="W271" s="15" t="str">
        <f t="shared" si="4"/>
        <v/>
      </c>
      <c r="X271" s="11">
        <f t="shared" si="5"/>
        <v>1371.088</v>
      </c>
      <c r="Y271" s="14">
        <f t="shared" si="6"/>
        <v>-0.17</v>
      </c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</row>
    <row r="272">
      <c r="A272" s="7"/>
      <c r="B272" s="7"/>
      <c r="C272" s="7"/>
      <c r="D272" s="7"/>
      <c r="E272" s="7"/>
      <c r="F272" s="7" t="s">
        <v>22</v>
      </c>
      <c r="G272" s="8">
        <v>1316.0</v>
      </c>
      <c r="H272" s="9">
        <v>39.2922102778</v>
      </c>
      <c r="I272" s="9">
        <v>-112.898179167</v>
      </c>
      <c r="J272" s="10">
        <v>1376.03</v>
      </c>
      <c r="K272" s="11">
        <v>910.638</v>
      </c>
      <c r="L272" s="11">
        <v>-522.74</v>
      </c>
      <c r="M272" s="11">
        <v>5.898</v>
      </c>
      <c r="N272" s="11">
        <v>910.637</v>
      </c>
      <c r="O272" s="11">
        <v>-522.74</v>
      </c>
      <c r="P272" s="11">
        <v>0.638</v>
      </c>
      <c r="Q272" s="11">
        <v>1389.68</v>
      </c>
      <c r="R272" s="11">
        <v>-19.912</v>
      </c>
      <c r="S272" s="12">
        <v>0.89</v>
      </c>
      <c r="T272" s="13">
        <f t="shared" si="1"/>
        <v>1370.658</v>
      </c>
      <c r="U272" s="14">
        <f t="shared" si="2"/>
        <v>5.372</v>
      </c>
      <c r="V272" s="14">
        <f t="shared" si="3"/>
        <v>1.031403263</v>
      </c>
      <c r="W272" s="15" t="str">
        <f t="shared" si="4"/>
        <v/>
      </c>
      <c r="X272" s="11">
        <f t="shared" si="5"/>
        <v>1371.478</v>
      </c>
      <c r="Y272" s="14">
        <f t="shared" si="6"/>
        <v>-0.82</v>
      </c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</row>
    <row r="273">
      <c r="A273" s="7"/>
      <c r="B273" s="7"/>
      <c r="C273" s="7"/>
      <c r="D273" s="7"/>
      <c r="E273" s="7"/>
      <c r="F273" s="7" t="s">
        <v>22</v>
      </c>
      <c r="G273" s="8">
        <v>1317.0</v>
      </c>
      <c r="H273" s="9">
        <v>39.3030341667</v>
      </c>
      <c r="I273" s="9">
        <v>-112.898137222</v>
      </c>
      <c r="J273" s="10">
        <v>1376.23</v>
      </c>
      <c r="K273" s="11">
        <v>914.121</v>
      </c>
      <c r="L273" s="11">
        <v>679.213</v>
      </c>
      <c r="M273" s="11">
        <v>6.082</v>
      </c>
      <c r="N273" s="11">
        <v>914.12</v>
      </c>
      <c r="O273" s="11">
        <v>679.213</v>
      </c>
      <c r="P273" s="11">
        <v>1.062</v>
      </c>
      <c r="Q273" s="11">
        <v>1390.11</v>
      </c>
      <c r="R273" s="11">
        <v>-19.902</v>
      </c>
      <c r="S273" s="12">
        <v>0.89</v>
      </c>
      <c r="T273" s="13">
        <f t="shared" si="1"/>
        <v>1371.098</v>
      </c>
      <c r="U273" s="14">
        <f t="shared" si="2"/>
        <v>5.132</v>
      </c>
      <c r="V273" s="14">
        <f t="shared" si="3"/>
        <v>0.7295291375</v>
      </c>
      <c r="W273" s="15" t="str">
        <f t="shared" si="4"/>
        <v/>
      </c>
      <c r="X273" s="11">
        <f t="shared" si="5"/>
        <v>1371.678</v>
      </c>
      <c r="Y273" s="14">
        <f t="shared" si="6"/>
        <v>-0.58</v>
      </c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</row>
    <row r="274">
      <c r="A274" s="7"/>
      <c r="B274" s="7"/>
      <c r="C274" s="7"/>
      <c r="D274" s="7"/>
      <c r="E274" s="7"/>
      <c r="F274" s="7" t="s">
        <v>22</v>
      </c>
      <c r="G274" s="8">
        <v>1318.0</v>
      </c>
      <c r="H274" s="9">
        <v>39.3138288889</v>
      </c>
      <c r="I274" s="9">
        <v>-112.898131667</v>
      </c>
      <c r="J274" s="10">
        <v>1376.33</v>
      </c>
      <c r="K274" s="11">
        <v>914.412</v>
      </c>
      <c r="L274" s="11">
        <v>1877.948</v>
      </c>
      <c r="M274" s="11">
        <v>5.941</v>
      </c>
      <c r="N274" s="11">
        <v>914.411</v>
      </c>
      <c r="O274" s="11">
        <v>1877.947</v>
      </c>
      <c r="P274" s="11">
        <v>0.441</v>
      </c>
      <c r="Q274" s="11">
        <v>1389.72</v>
      </c>
      <c r="R274" s="11">
        <v>-19.89</v>
      </c>
      <c r="S274" s="12">
        <v>0.89</v>
      </c>
      <c r="T274" s="13">
        <f t="shared" si="1"/>
        <v>1370.72</v>
      </c>
      <c r="U274" s="14">
        <f t="shared" si="2"/>
        <v>5.61</v>
      </c>
      <c r="V274" s="14">
        <f t="shared" si="3"/>
        <v>1.330761772</v>
      </c>
      <c r="W274" s="15" t="str">
        <f t="shared" si="4"/>
        <v/>
      </c>
      <c r="X274" s="11">
        <f t="shared" si="5"/>
        <v>1371.778</v>
      </c>
      <c r="Y274" s="14">
        <f t="shared" si="6"/>
        <v>-1.058</v>
      </c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</row>
    <row r="275">
      <c r="A275" s="7"/>
      <c r="B275" s="7"/>
      <c r="C275" s="7"/>
      <c r="D275" s="7"/>
      <c r="E275" s="7"/>
      <c r="F275" s="7" t="s">
        <v>22</v>
      </c>
      <c r="G275" s="8">
        <v>1319.0</v>
      </c>
      <c r="H275" s="9">
        <v>39.3245991667</v>
      </c>
      <c r="I275" s="9">
        <v>-112.898108889</v>
      </c>
      <c r="J275" s="10">
        <v>1376.67</v>
      </c>
      <c r="K275" s="11">
        <v>916.255</v>
      </c>
      <c r="L275" s="11">
        <v>3073.91</v>
      </c>
      <c r="M275" s="11">
        <v>5.816</v>
      </c>
      <c r="N275" s="11">
        <v>916.255</v>
      </c>
      <c r="O275" s="11">
        <v>3073.907</v>
      </c>
      <c r="P275" s="11">
        <v>0.746</v>
      </c>
      <c r="Q275" s="11">
        <v>1390.48</v>
      </c>
      <c r="R275" s="11">
        <v>-19.878</v>
      </c>
      <c r="S275" s="12">
        <v>0.89</v>
      </c>
      <c r="T275" s="13">
        <f t="shared" si="1"/>
        <v>1371.492</v>
      </c>
      <c r="U275" s="14">
        <f t="shared" si="2"/>
        <v>5.178</v>
      </c>
      <c r="V275" s="14">
        <f t="shared" si="3"/>
        <v>0.787388345</v>
      </c>
      <c r="W275" s="15" t="str">
        <f t="shared" si="4"/>
        <v/>
      </c>
      <c r="X275" s="11">
        <f t="shared" si="5"/>
        <v>1372.118</v>
      </c>
      <c r="Y275" s="14">
        <f t="shared" si="6"/>
        <v>-0.626</v>
      </c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</row>
    <row r="276">
      <c r="A276" s="7"/>
      <c r="B276" s="7"/>
      <c r="C276" s="7"/>
      <c r="D276" s="7"/>
      <c r="E276" s="7"/>
      <c r="F276" s="7" t="s">
        <v>22</v>
      </c>
      <c r="G276" s="8">
        <v>1320.0</v>
      </c>
      <c r="H276" s="9">
        <v>39.3355541667</v>
      </c>
      <c r="I276" s="9">
        <v>-112.898056389</v>
      </c>
      <c r="J276" s="10">
        <v>1374.78</v>
      </c>
      <c r="K276" s="11">
        <v>920.683</v>
      </c>
      <c r="L276" s="11">
        <v>4290.416</v>
      </c>
      <c r="M276" s="11">
        <v>3.221</v>
      </c>
      <c r="N276" s="11">
        <v>920.682</v>
      </c>
      <c r="O276" s="11">
        <v>4290.413</v>
      </c>
      <c r="P276" s="11">
        <v>-1.139</v>
      </c>
      <c r="Q276" s="11">
        <v>1389.28</v>
      </c>
      <c r="R276" s="11">
        <v>-19.863</v>
      </c>
      <c r="S276" s="12">
        <v>0.89</v>
      </c>
      <c r="T276" s="13">
        <f t="shared" si="1"/>
        <v>1370.307</v>
      </c>
      <c r="U276" s="14">
        <f t="shared" si="2"/>
        <v>4.473</v>
      </c>
      <c r="V276" s="14">
        <f t="shared" si="3"/>
        <v>-0.09936689977</v>
      </c>
      <c r="W276" s="15" t="str">
        <f t="shared" si="4"/>
        <v/>
      </c>
      <c r="X276" s="11">
        <f t="shared" si="5"/>
        <v>1370.228</v>
      </c>
      <c r="Y276" s="14">
        <f t="shared" si="6"/>
        <v>0.079</v>
      </c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</row>
    <row r="277">
      <c r="A277" s="7"/>
      <c r="B277" s="7"/>
      <c r="C277" s="7"/>
      <c r="D277" s="7"/>
      <c r="E277" s="7"/>
      <c r="F277" s="7" t="s">
        <v>22</v>
      </c>
      <c r="G277" s="8">
        <v>1321.0</v>
      </c>
      <c r="H277" s="9">
        <v>39.3462688889</v>
      </c>
      <c r="I277" s="9">
        <v>-112.898081111</v>
      </c>
      <c r="J277" s="10">
        <v>1374.66</v>
      </c>
      <c r="K277" s="11">
        <v>918.386</v>
      </c>
      <c r="L277" s="11">
        <v>5480.273</v>
      </c>
      <c r="M277" s="11">
        <v>2.188</v>
      </c>
      <c r="N277" s="11">
        <v>918.386</v>
      </c>
      <c r="O277" s="11">
        <v>5480.267</v>
      </c>
      <c r="P277" s="11">
        <v>-4.132</v>
      </c>
      <c r="Q277" s="11">
        <v>1387.19</v>
      </c>
      <c r="R277" s="11">
        <v>-19.846</v>
      </c>
      <c r="S277" s="12">
        <v>0.89</v>
      </c>
      <c r="T277" s="13">
        <f t="shared" si="1"/>
        <v>1368.234</v>
      </c>
      <c r="U277" s="14">
        <f t="shared" si="2"/>
        <v>6.426</v>
      </c>
      <c r="V277" s="14">
        <f t="shared" si="3"/>
        <v>2.3571338</v>
      </c>
      <c r="W277" s="15" t="str">
        <f t="shared" si="4"/>
        <v/>
      </c>
      <c r="X277" s="11">
        <f t="shared" si="5"/>
        <v>1370.108</v>
      </c>
      <c r="Y277" s="14">
        <f t="shared" si="6"/>
        <v>-1.874</v>
      </c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</row>
    <row r="278">
      <c r="A278" s="7"/>
      <c r="B278" s="7"/>
      <c r="C278" s="7"/>
      <c r="D278" s="7"/>
      <c r="E278" s="7"/>
      <c r="F278" s="7" t="s">
        <v>22</v>
      </c>
      <c r="G278" s="8">
        <v>1322.0</v>
      </c>
      <c r="H278" s="9">
        <v>39.3570622222</v>
      </c>
      <c r="I278" s="9">
        <v>-112.898111667</v>
      </c>
      <c r="J278" s="10">
        <v>1374.99</v>
      </c>
      <c r="K278" s="11">
        <v>915.573</v>
      </c>
      <c r="L278" s="11">
        <v>6678.794</v>
      </c>
      <c r="M278" s="11">
        <v>1.373</v>
      </c>
      <c r="N278" s="11">
        <v>915.572</v>
      </c>
      <c r="O278" s="11">
        <v>6678.79</v>
      </c>
      <c r="P278" s="11">
        <v>-1.767</v>
      </c>
      <c r="Q278" s="11">
        <v>1390.68</v>
      </c>
      <c r="R278" s="11">
        <v>-19.826</v>
      </c>
      <c r="S278" s="12">
        <v>0.89</v>
      </c>
      <c r="T278" s="13">
        <f t="shared" si="1"/>
        <v>1371.744</v>
      </c>
      <c r="U278" s="14">
        <f t="shared" si="2"/>
        <v>3.246</v>
      </c>
      <c r="V278" s="14">
        <f t="shared" si="3"/>
        <v>-1.642698368</v>
      </c>
      <c r="W278" s="15" t="str">
        <f t="shared" si="4"/>
        <v/>
      </c>
      <c r="X278" s="11">
        <f t="shared" si="5"/>
        <v>1370.438</v>
      </c>
      <c r="Y278" s="14">
        <f t="shared" si="6"/>
        <v>1.306</v>
      </c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</row>
    <row r="279">
      <c r="A279" s="7"/>
      <c r="B279" s="7"/>
      <c r="C279" s="7"/>
      <c r="D279" s="7"/>
      <c r="E279" s="7"/>
      <c r="F279" s="7" t="s">
        <v>22</v>
      </c>
      <c r="G279" s="8">
        <v>1323.0</v>
      </c>
      <c r="H279" s="9">
        <v>39.3679502778</v>
      </c>
      <c r="I279" s="9">
        <v>-112.898072222</v>
      </c>
      <c r="J279" s="10">
        <v>1382.83</v>
      </c>
      <c r="K279" s="11">
        <v>918.88</v>
      </c>
      <c r="L279" s="11">
        <v>7887.876</v>
      </c>
      <c r="M279" s="11">
        <v>7.828</v>
      </c>
      <c r="N279" s="11">
        <v>918.879</v>
      </c>
      <c r="O279" s="11">
        <v>7887.87</v>
      </c>
      <c r="P279" s="11">
        <v>2.418</v>
      </c>
      <c r="Q279" s="11">
        <v>1396.22</v>
      </c>
      <c r="R279" s="11">
        <v>-19.804</v>
      </c>
      <c r="S279" s="12">
        <v>0.89</v>
      </c>
      <c r="T279" s="13">
        <f t="shared" si="1"/>
        <v>1377.306</v>
      </c>
      <c r="U279" s="14">
        <f t="shared" si="2"/>
        <v>5.524</v>
      </c>
      <c r="V279" s="14">
        <f t="shared" si="3"/>
        <v>1.22259021</v>
      </c>
      <c r="W279" s="15" t="str">
        <f t="shared" si="4"/>
        <v/>
      </c>
      <c r="X279" s="11">
        <f t="shared" si="5"/>
        <v>1378.278</v>
      </c>
      <c r="Y279" s="14">
        <f t="shared" si="6"/>
        <v>-0.972</v>
      </c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</row>
    <row r="280">
      <c r="A280" s="7"/>
      <c r="B280" s="7"/>
      <c r="C280" s="7"/>
      <c r="D280" s="7"/>
      <c r="E280" s="7"/>
      <c r="F280" s="7" t="s">
        <v>22</v>
      </c>
      <c r="G280" s="8">
        <v>1324.0</v>
      </c>
      <c r="H280" s="9">
        <v>39.3787044444</v>
      </c>
      <c r="I280" s="9">
        <v>-112.897926667</v>
      </c>
      <c r="J280" s="10">
        <v>1391.43</v>
      </c>
      <c r="K280" s="11">
        <v>931.236</v>
      </c>
      <c r="L280" s="11">
        <v>9082.086</v>
      </c>
      <c r="M280" s="11">
        <v>14.834</v>
      </c>
      <c r="N280" s="11">
        <v>931.235</v>
      </c>
      <c r="O280" s="11">
        <v>9082.078</v>
      </c>
      <c r="P280" s="11">
        <v>9.414</v>
      </c>
      <c r="Q280" s="11">
        <v>1404.79</v>
      </c>
      <c r="R280" s="11">
        <v>-19.78</v>
      </c>
      <c r="S280" s="12">
        <v>0.89</v>
      </c>
      <c r="T280" s="13">
        <f t="shared" si="1"/>
        <v>1385.9</v>
      </c>
      <c r="U280" s="14">
        <f t="shared" si="2"/>
        <v>5.53</v>
      </c>
      <c r="V280" s="14">
        <f t="shared" si="3"/>
        <v>1.230137063</v>
      </c>
      <c r="W280" s="15" t="str">
        <f t="shared" si="4"/>
        <v/>
      </c>
      <c r="X280" s="11">
        <f t="shared" si="5"/>
        <v>1386.878</v>
      </c>
      <c r="Y280" s="14">
        <f t="shared" si="6"/>
        <v>-0.978</v>
      </c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</row>
    <row r="281">
      <c r="A281" s="7"/>
      <c r="B281" s="7"/>
      <c r="C281" s="7"/>
      <c r="D281" s="7"/>
      <c r="E281" s="7"/>
      <c r="F281" s="7" t="s">
        <v>22</v>
      </c>
      <c r="G281" s="8">
        <v>1325.0</v>
      </c>
      <c r="H281" s="9">
        <v>39.3895363889</v>
      </c>
      <c r="I281" s="9">
        <v>-112.898034167</v>
      </c>
      <c r="J281" s="10">
        <v>1401.64</v>
      </c>
      <c r="K281" s="11">
        <v>921.874</v>
      </c>
      <c r="L281" s="11">
        <v>10284.962</v>
      </c>
      <c r="M281" s="11">
        <v>23.215</v>
      </c>
      <c r="N281" s="11">
        <v>921.873</v>
      </c>
      <c r="O281" s="11">
        <v>10284.954</v>
      </c>
      <c r="P281" s="11">
        <v>17.975</v>
      </c>
      <c r="Q281" s="11">
        <v>1415.15</v>
      </c>
      <c r="R281" s="11">
        <v>-19.755</v>
      </c>
      <c r="S281" s="12">
        <v>0.89</v>
      </c>
      <c r="T281" s="13">
        <f t="shared" si="1"/>
        <v>1396.285</v>
      </c>
      <c r="U281" s="14">
        <f t="shared" si="2"/>
        <v>5.355</v>
      </c>
      <c r="V281" s="14">
        <f t="shared" si="3"/>
        <v>1.010020513</v>
      </c>
      <c r="W281" s="15" t="str">
        <f t="shared" si="4"/>
        <v/>
      </c>
      <c r="X281" s="11">
        <f t="shared" si="5"/>
        <v>1397.088</v>
      </c>
      <c r="Y281" s="14">
        <f t="shared" si="6"/>
        <v>-0.803</v>
      </c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</row>
    <row r="282">
      <c r="A282" s="7"/>
      <c r="B282" s="7"/>
      <c r="C282" s="7"/>
      <c r="D282" s="7"/>
      <c r="E282" s="7"/>
      <c r="F282" s="7" t="s">
        <v>22</v>
      </c>
      <c r="G282" s="8">
        <v>1326.0</v>
      </c>
      <c r="H282" s="9">
        <v>39.4003366667</v>
      </c>
      <c r="I282" s="9">
        <v>-112.897838333</v>
      </c>
      <c r="J282" s="10">
        <v>1408.39</v>
      </c>
      <c r="K282" s="11">
        <v>938.619</v>
      </c>
      <c r="L282" s="11">
        <v>11484.398</v>
      </c>
      <c r="M282" s="11">
        <v>27.91</v>
      </c>
      <c r="N282" s="11">
        <v>938.618</v>
      </c>
      <c r="O282" s="11">
        <v>11484.389</v>
      </c>
      <c r="P282" s="11">
        <v>22.73</v>
      </c>
      <c r="Q282" s="11">
        <v>1421.94</v>
      </c>
      <c r="R282" s="11">
        <v>-19.728</v>
      </c>
      <c r="S282" s="12">
        <v>0.89</v>
      </c>
      <c r="T282" s="13">
        <f t="shared" si="1"/>
        <v>1403.102</v>
      </c>
      <c r="U282" s="14">
        <f t="shared" si="2"/>
        <v>5.288</v>
      </c>
      <c r="V282" s="14">
        <f t="shared" si="3"/>
        <v>0.9257473193</v>
      </c>
      <c r="W282" s="15" t="str">
        <f t="shared" si="4"/>
        <v/>
      </c>
      <c r="X282" s="11">
        <f t="shared" si="5"/>
        <v>1403.838</v>
      </c>
      <c r="Y282" s="14">
        <f t="shared" si="6"/>
        <v>-0.736</v>
      </c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</row>
    <row r="283">
      <c r="A283" s="7"/>
      <c r="B283" s="7"/>
      <c r="C283" s="7"/>
      <c r="D283" s="7"/>
      <c r="E283" s="7"/>
      <c r="F283" s="7" t="s">
        <v>22</v>
      </c>
      <c r="G283" s="8">
        <v>1327.0</v>
      </c>
      <c r="H283" s="9">
        <v>39.4099194444</v>
      </c>
      <c r="I283" s="9">
        <v>-112.896522778</v>
      </c>
      <c r="J283" s="10">
        <v>1415.99</v>
      </c>
      <c r="K283" s="11">
        <v>1051.77</v>
      </c>
      <c r="L283" s="11">
        <v>12548.486</v>
      </c>
      <c r="M283" s="11">
        <v>33.483</v>
      </c>
      <c r="N283" s="11">
        <v>1051.77</v>
      </c>
      <c r="O283" s="11">
        <v>12548.479</v>
      </c>
      <c r="P283" s="11">
        <v>30.053</v>
      </c>
      <c r="Q283" s="11">
        <v>1431.26</v>
      </c>
      <c r="R283" s="11">
        <v>-19.705</v>
      </c>
      <c r="S283" s="12">
        <v>0.89</v>
      </c>
      <c r="T283" s="13">
        <f t="shared" si="1"/>
        <v>1412.445</v>
      </c>
      <c r="U283" s="14">
        <f t="shared" si="2"/>
        <v>3.545</v>
      </c>
      <c r="V283" s="14">
        <f t="shared" si="3"/>
        <v>-1.26661352</v>
      </c>
      <c r="W283" s="15" t="str">
        <f t="shared" si="4"/>
        <v/>
      </c>
      <c r="X283" s="11">
        <f t="shared" si="5"/>
        <v>1411.438</v>
      </c>
      <c r="Y283" s="14">
        <f t="shared" si="6"/>
        <v>1.007</v>
      </c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</row>
    <row r="284">
      <c r="A284" s="7"/>
      <c r="B284" s="7"/>
      <c r="C284" s="7"/>
      <c r="D284" s="7"/>
      <c r="E284" s="7"/>
      <c r="F284" s="7" t="s">
        <v>22</v>
      </c>
      <c r="G284" s="8">
        <v>1401.0</v>
      </c>
      <c r="H284" s="9">
        <v>39.12995</v>
      </c>
      <c r="I284" s="9">
        <v>-112.884601389</v>
      </c>
      <c r="J284" s="10">
        <v>1377.23</v>
      </c>
      <c r="K284" s="11">
        <v>2087.048</v>
      </c>
      <c r="L284" s="11">
        <v>-18540.415</v>
      </c>
      <c r="M284" s="11">
        <v>-20.171</v>
      </c>
      <c r="N284" s="11">
        <v>2087.046</v>
      </c>
      <c r="O284" s="11">
        <v>-18540.404</v>
      </c>
      <c r="P284" s="11">
        <v>-23.961</v>
      </c>
      <c r="Q284" s="11">
        <v>1392.46</v>
      </c>
      <c r="R284" s="11">
        <v>-20.023</v>
      </c>
      <c r="S284" s="12">
        <v>0.89</v>
      </c>
      <c r="T284" s="13">
        <f t="shared" si="1"/>
        <v>1373.327</v>
      </c>
      <c r="U284" s="14">
        <f t="shared" si="2"/>
        <v>3.903</v>
      </c>
      <c r="V284" s="14">
        <f t="shared" si="3"/>
        <v>-0.8163179487</v>
      </c>
      <c r="W284" s="15" t="str">
        <f t="shared" si="4"/>
        <v/>
      </c>
      <c r="X284" s="11">
        <f t="shared" si="5"/>
        <v>1372.678</v>
      </c>
      <c r="Y284" s="14">
        <f t="shared" si="6"/>
        <v>0.649</v>
      </c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</row>
    <row r="285">
      <c r="A285" s="7"/>
      <c r="B285" s="7"/>
      <c r="C285" s="7"/>
      <c r="D285" s="7"/>
      <c r="E285" s="7"/>
      <c r="F285" s="7" t="s">
        <v>22</v>
      </c>
      <c r="G285" s="8">
        <v>1402.0</v>
      </c>
      <c r="H285" s="9">
        <v>39.1403266667</v>
      </c>
      <c r="I285" s="9">
        <v>-112.8845825</v>
      </c>
      <c r="J285" s="10">
        <v>1376.48</v>
      </c>
      <c r="K285" s="11">
        <v>2088.298</v>
      </c>
      <c r="L285" s="11">
        <v>-17388.134</v>
      </c>
      <c r="M285" s="11">
        <v>-17.668</v>
      </c>
      <c r="N285" s="11">
        <v>2088.296</v>
      </c>
      <c r="O285" s="11">
        <v>-17388.12</v>
      </c>
      <c r="P285" s="11">
        <v>-22.618</v>
      </c>
      <c r="Q285" s="11">
        <v>1390.55</v>
      </c>
      <c r="R285" s="11">
        <v>-20.024</v>
      </c>
      <c r="S285" s="12">
        <v>0.89</v>
      </c>
      <c r="T285" s="13">
        <f t="shared" si="1"/>
        <v>1371.416</v>
      </c>
      <c r="U285" s="14">
        <f t="shared" si="2"/>
        <v>5.064</v>
      </c>
      <c r="V285" s="14">
        <f t="shared" si="3"/>
        <v>0.6439981352</v>
      </c>
      <c r="W285" s="15" t="str">
        <f t="shared" si="4"/>
        <v/>
      </c>
      <c r="X285" s="11">
        <f t="shared" si="5"/>
        <v>1371.928</v>
      </c>
      <c r="Y285" s="14">
        <f t="shared" si="6"/>
        <v>-0.512</v>
      </c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</row>
    <row r="286">
      <c r="A286" s="7"/>
      <c r="B286" s="7"/>
      <c r="C286" s="7"/>
      <c r="D286" s="7"/>
      <c r="E286" s="7"/>
      <c r="F286" s="7" t="s">
        <v>22</v>
      </c>
      <c r="G286" s="8">
        <v>1403.0</v>
      </c>
      <c r="H286" s="9">
        <v>39.1527036111</v>
      </c>
      <c r="I286" s="9">
        <v>-112.884568611</v>
      </c>
      <c r="J286" s="10">
        <v>1374.36</v>
      </c>
      <c r="K286" s="11">
        <v>2089.142</v>
      </c>
      <c r="L286" s="11">
        <v>-16013.762</v>
      </c>
      <c r="M286" s="11">
        <v>-16.181</v>
      </c>
      <c r="N286" s="11">
        <v>2089.14</v>
      </c>
      <c r="O286" s="11">
        <v>-16013.75</v>
      </c>
      <c r="P286" s="11">
        <v>-20.801</v>
      </c>
      <c r="Q286" s="11">
        <v>1388.76</v>
      </c>
      <c r="R286" s="11">
        <v>-20.02</v>
      </c>
      <c r="S286" s="12">
        <v>0.89</v>
      </c>
      <c r="T286" s="13">
        <f t="shared" si="1"/>
        <v>1369.63</v>
      </c>
      <c r="U286" s="14">
        <f t="shared" si="2"/>
        <v>4.73</v>
      </c>
      <c r="V286" s="14">
        <f t="shared" si="3"/>
        <v>0.2238899767</v>
      </c>
      <c r="W286" s="15" t="str">
        <f t="shared" si="4"/>
        <v/>
      </c>
      <c r="X286" s="11">
        <f t="shared" si="5"/>
        <v>1369.808</v>
      </c>
      <c r="Y286" s="14">
        <f t="shared" si="6"/>
        <v>-0.178</v>
      </c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</row>
    <row r="287">
      <c r="A287" s="7"/>
      <c r="B287" s="7"/>
      <c r="C287" s="7"/>
      <c r="D287" s="7"/>
      <c r="E287" s="7"/>
      <c r="F287" s="7" t="s">
        <v>22</v>
      </c>
      <c r="G287" s="8">
        <v>1404.0</v>
      </c>
      <c r="H287" s="9">
        <v>39.1641791667</v>
      </c>
      <c r="I287" s="9">
        <v>-112.884539444</v>
      </c>
      <c r="J287" s="10">
        <v>1373.44</v>
      </c>
      <c r="K287" s="11">
        <v>2091.395</v>
      </c>
      <c r="L287" s="11">
        <v>-14739.55</v>
      </c>
      <c r="M287" s="11">
        <v>-14.022</v>
      </c>
      <c r="N287" s="11">
        <v>2091.394</v>
      </c>
      <c r="O287" s="11">
        <v>-14739.543</v>
      </c>
      <c r="P287" s="11">
        <v>-17.362</v>
      </c>
      <c r="Q287" s="11">
        <v>1389.11</v>
      </c>
      <c r="R287" s="11">
        <v>-20.013</v>
      </c>
      <c r="S287" s="12">
        <v>0.89</v>
      </c>
      <c r="T287" s="13">
        <f t="shared" si="1"/>
        <v>1369.987</v>
      </c>
      <c r="U287" s="14">
        <f t="shared" si="2"/>
        <v>3.453</v>
      </c>
      <c r="V287" s="14">
        <f t="shared" si="3"/>
        <v>-1.382331935</v>
      </c>
      <c r="W287" s="15" t="str">
        <f t="shared" si="4"/>
        <v/>
      </c>
      <c r="X287" s="11">
        <f t="shared" si="5"/>
        <v>1368.888</v>
      </c>
      <c r="Y287" s="14">
        <f t="shared" si="6"/>
        <v>1.099</v>
      </c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</row>
    <row r="288">
      <c r="A288" s="7"/>
      <c r="B288" s="7"/>
      <c r="C288" s="7"/>
      <c r="D288" s="7"/>
      <c r="E288" s="7"/>
      <c r="F288" s="7" t="s">
        <v>22</v>
      </c>
      <c r="G288" s="8">
        <v>1405.0</v>
      </c>
      <c r="H288" s="9">
        <v>39.1728005556</v>
      </c>
      <c r="I288" s="9">
        <v>-112.8847825</v>
      </c>
      <c r="J288" s="10">
        <v>1374.78</v>
      </c>
      <c r="K288" s="11">
        <v>2070.051</v>
      </c>
      <c r="L288" s="11">
        <v>-13782.151</v>
      </c>
      <c r="M288" s="11">
        <v>-10.529</v>
      </c>
      <c r="N288" s="11">
        <v>2070.049</v>
      </c>
      <c r="O288" s="11">
        <v>-13782.142</v>
      </c>
      <c r="P288" s="11">
        <v>-15.009</v>
      </c>
      <c r="Q288" s="11">
        <v>1389.31</v>
      </c>
      <c r="R288" s="11">
        <v>-20.008</v>
      </c>
      <c r="S288" s="12">
        <v>0.89</v>
      </c>
      <c r="T288" s="13">
        <f t="shared" si="1"/>
        <v>1370.192</v>
      </c>
      <c r="U288" s="14">
        <f t="shared" si="2"/>
        <v>4.588</v>
      </c>
      <c r="V288" s="14">
        <f t="shared" si="3"/>
        <v>0.04528111888</v>
      </c>
      <c r="W288" s="15" t="str">
        <f t="shared" si="4"/>
        <v/>
      </c>
      <c r="X288" s="11">
        <f t="shared" si="5"/>
        <v>1370.228</v>
      </c>
      <c r="Y288" s="14">
        <f t="shared" si="6"/>
        <v>-0.036</v>
      </c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</row>
    <row r="289">
      <c r="A289" s="7"/>
      <c r="B289" s="7"/>
      <c r="C289" s="7"/>
      <c r="D289" s="7"/>
      <c r="E289" s="7"/>
      <c r="F289" s="7" t="s">
        <v>22</v>
      </c>
      <c r="G289" s="8">
        <v>1406.0</v>
      </c>
      <c r="H289" s="9">
        <v>39.1839888889</v>
      </c>
      <c r="I289" s="9">
        <v>-112.884553056</v>
      </c>
      <c r="J289" s="10">
        <v>1375.41</v>
      </c>
      <c r="K289" s="11">
        <v>2089.599</v>
      </c>
      <c r="L289" s="11">
        <v>-12539.802</v>
      </c>
      <c r="M289" s="11">
        <v>-7.335</v>
      </c>
      <c r="N289" s="11">
        <v>2089.598</v>
      </c>
      <c r="O289" s="11">
        <v>-12539.791</v>
      </c>
      <c r="P289" s="11">
        <v>-12.855</v>
      </c>
      <c r="Q289" s="11">
        <v>1388.89</v>
      </c>
      <c r="R289" s="11">
        <v>-19.998</v>
      </c>
      <c r="S289" s="12">
        <v>0.89</v>
      </c>
      <c r="T289" s="13">
        <f t="shared" si="1"/>
        <v>1369.782</v>
      </c>
      <c r="U289" s="14">
        <f t="shared" si="2"/>
        <v>5.628</v>
      </c>
      <c r="V289" s="14">
        <f t="shared" si="3"/>
        <v>1.353402331</v>
      </c>
      <c r="W289" s="15" t="str">
        <f t="shared" si="4"/>
        <v/>
      </c>
      <c r="X289" s="11">
        <f t="shared" si="5"/>
        <v>1370.858</v>
      </c>
      <c r="Y289" s="14">
        <f t="shared" si="6"/>
        <v>-1.076</v>
      </c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</row>
    <row r="290">
      <c r="A290" s="7"/>
      <c r="B290" s="7"/>
      <c r="C290" s="7"/>
      <c r="D290" s="7"/>
      <c r="E290" s="7"/>
      <c r="F290" s="7" t="s">
        <v>22</v>
      </c>
      <c r="G290" s="8">
        <v>1407.0</v>
      </c>
      <c r="H290" s="9">
        <v>39.1948416667</v>
      </c>
      <c r="I290" s="9">
        <v>-112.884499722</v>
      </c>
      <c r="J290" s="10">
        <v>1375.22</v>
      </c>
      <c r="K290" s="11">
        <v>2093.858</v>
      </c>
      <c r="L290" s="11">
        <v>-11334.652</v>
      </c>
      <c r="M290" s="11">
        <v>-5.266</v>
      </c>
      <c r="N290" s="11">
        <v>2093.856</v>
      </c>
      <c r="O290" s="11">
        <v>-11334.643</v>
      </c>
      <c r="P290" s="11">
        <v>-10.326</v>
      </c>
      <c r="Q290" s="11">
        <v>1389.15</v>
      </c>
      <c r="R290" s="11">
        <v>-19.988</v>
      </c>
      <c r="S290" s="12">
        <v>0.89</v>
      </c>
      <c r="T290" s="13">
        <f t="shared" si="1"/>
        <v>1370.052</v>
      </c>
      <c r="U290" s="14">
        <f t="shared" si="2"/>
        <v>5.168</v>
      </c>
      <c r="V290" s="14">
        <f t="shared" si="3"/>
        <v>0.7748102564</v>
      </c>
      <c r="W290" s="15" t="str">
        <f t="shared" si="4"/>
        <v/>
      </c>
      <c r="X290" s="11">
        <f t="shared" si="5"/>
        <v>1370.668</v>
      </c>
      <c r="Y290" s="14">
        <f t="shared" si="6"/>
        <v>-0.616</v>
      </c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</row>
    <row r="291">
      <c r="A291" s="7"/>
      <c r="B291" s="7"/>
      <c r="C291" s="7"/>
      <c r="D291" s="7"/>
      <c r="E291" s="7"/>
      <c r="F291" s="7" t="s">
        <v>22</v>
      </c>
      <c r="G291" s="8">
        <v>1408.0</v>
      </c>
      <c r="H291" s="9">
        <v>39.2054747222</v>
      </c>
      <c r="I291" s="9">
        <v>-112.884166667</v>
      </c>
      <c r="J291" s="10">
        <v>1375.42</v>
      </c>
      <c r="K291" s="11">
        <v>2122.311</v>
      </c>
      <c r="L291" s="11">
        <v>-10153.923</v>
      </c>
      <c r="M291" s="11">
        <v>-3.081</v>
      </c>
      <c r="N291" s="11">
        <v>2122.309</v>
      </c>
      <c r="O291" s="11">
        <v>-10153.915</v>
      </c>
      <c r="P291" s="11">
        <v>-8.121</v>
      </c>
      <c r="Q291" s="11">
        <v>1389.36</v>
      </c>
      <c r="R291" s="11">
        <v>-19.977</v>
      </c>
      <c r="S291" s="12">
        <v>0.89</v>
      </c>
      <c r="T291" s="13">
        <f t="shared" si="1"/>
        <v>1370.273</v>
      </c>
      <c r="U291" s="14">
        <f t="shared" si="2"/>
        <v>5.147</v>
      </c>
      <c r="V291" s="14">
        <f t="shared" si="3"/>
        <v>0.7483962704</v>
      </c>
      <c r="W291" s="15" t="str">
        <f t="shared" si="4"/>
        <v/>
      </c>
      <c r="X291" s="11">
        <f t="shared" si="5"/>
        <v>1370.868</v>
      </c>
      <c r="Y291" s="14">
        <f t="shared" si="6"/>
        <v>-0.595</v>
      </c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</row>
    <row r="292">
      <c r="A292" s="7"/>
      <c r="B292" s="7"/>
      <c r="C292" s="7"/>
      <c r="D292" s="7"/>
      <c r="E292" s="7"/>
      <c r="F292" s="7" t="s">
        <v>22</v>
      </c>
      <c r="G292" s="8">
        <v>1409.0</v>
      </c>
      <c r="H292" s="9">
        <v>39.2165941667</v>
      </c>
      <c r="I292" s="9">
        <v>-112.884331111</v>
      </c>
      <c r="J292" s="10">
        <v>1375.35</v>
      </c>
      <c r="K292" s="11">
        <v>2107.81</v>
      </c>
      <c r="L292" s="11">
        <v>-8919.235</v>
      </c>
      <c r="M292" s="11">
        <v>-1.296</v>
      </c>
      <c r="N292" s="11">
        <v>2107.808</v>
      </c>
      <c r="O292" s="11">
        <v>-8919.228</v>
      </c>
      <c r="P292" s="11">
        <v>-6.536</v>
      </c>
      <c r="Q292" s="11">
        <v>1389.08</v>
      </c>
      <c r="R292" s="11">
        <v>-19.966</v>
      </c>
      <c r="S292" s="12">
        <v>0.89</v>
      </c>
      <c r="T292" s="13">
        <f t="shared" si="1"/>
        <v>1370.004</v>
      </c>
      <c r="U292" s="14">
        <f t="shared" si="2"/>
        <v>5.346</v>
      </c>
      <c r="V292" s="14">
        <f t="shared" si="3"/>
        <v>0.9987002331</v>
      </c>
      <c r="W292" s="15" t="str">
        <f t="shared" si="4"/>
        <v/>
      </c>
      <c r="X292" s="11">
        <f t="shared" si="5"/>
        <v>1370.798</v>
      </c>
      <c r="Y292" s="14">
        <f t="shared" si="6"/>
        <v>-0.794</v>
      </c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</row>
    <row r="293">
      <c r="A293" s="7"/>
      <c r="B293" s="7"/>
      <c r="C293" s="7"/>
      <c r="D293" s="7"/>
      <c r="E293" s="7"/>
      <c r="F293" s="7" t="s">
        <v>22</v>
      </c>
      <c r="G293" s="8">
        <v>1410.0</v>
      </c>
      <c r="H293" s="9">
        <v>39.2270969444</v>
      </c>
      <c r="I293" s="9">
        <v>-112.884488611</v>
      </c>
      <c r="J293" s="10">
        <v>1376.57</v>
      </c>
      <c r="K293" s="11">
        <v>2093.85</v>
      </c>
      <c r="L293" s="11">
        <v>-7752.949</v>
      </c>
      <c r="M293" s="11">
        <v>1.457</v>
      </c>
      <c r="N293" s="11">
        <v>2093.849</v>
      </c>
      <c r="O293" s="11">
        <v>-7752.944</v>
      </c>
      <c r="P293" s="11">
        <v>-3.163</v>
      </c>
      <c r="Q293" s="11">
        <v>1390.91</v>
      </c>
      <c r="R293" s="11">
        <v>-19.956</v>
      </c>
      <c r="S293" s="12">
        <v>0.89</v>
      </c>
      <c r="T293" s="13">
        <f t="shared" si="1"/>
        <v>1371.844</v>
      </c>
      <c r="U293" s="14">
        <f t="shared" si="2"/>
        <v>4.726</v>
      </c>
      <c r="V293" s="14">
        <f t="shared" si="3"/>
        <v>0.2188587413</v>
      </c>
      <c r="W293" s="15" t="str">
        <f t="shared" si="4"/>
        <v/>
      </c>
      <c r="X293" s="11">
        <f t="shared" si="5"/>
        <v>1372.018</v>
      </c>
      <c r="Y293" s="14">
        <f t="shared" si="6"/>
        <v>-0.174</v>
      </c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</row>
    <row r="294">
      <c r="A294" s="7"/>
      <c r="B294" s="7"/>
      <c r="C294" s="7"/>
      <c r="D294" s="7"/>
      <c r="E294" s="7"/>
      <c r="F294" s="7" t="s">
        <v>22</v>
      </c>
      <c r="G294" s="8">
        <v>1411.0</v>
      </c>
      <c r="H294" s="9">
        <v>39.2381333333</v>
      </c>
      <c r="I294" s="9">
        <v>-112.884403056</v>
      </c>
      <c r="J294" s="10">
        <v>1374.94</v>
      </c>
      <c r="K294" s="11">
        <v>2100.948</v>
      </c>
      <c r="L294" s="11">
        <v>-6527.465</v>
      </c>
      <c r="M294" s="11">
        <v>1.2</v>
      </c>
      <c r="N294" s="11">
        <v>2100.947</v>
      </c>
      <c r="O294" s="11">
        <v>-6527.46</v>
      </c>
      <c r="P294" s="11">
        <v>-3.78</v>
      </c>
      <c r="Q294" s="11">
        <v>1388.91</v>
      </c>
      <c r="R294" s="11">
        <v>-19.946</v>
      </c>
      <c r="S294" s="12">
        <v>0.89</v>
      </c>
      <c r="T294" s="13">
        <f t="shared" si="1"/>
        <v>1369.854</v>
      </c>
      <c r="U294" s="14">
        <f t="shared" si="2"/>
        <v>5.086</v>
      </c>
      <c r="V294" s="14">
        <f t="shared" si="3"/>
        <v>0.6716699301</v>
      </c>
      <c r="W294" s="15" t="str">
        <f t="shared" si="4"/>
        <v/>
      </c>
      <c r="X294" s="11">
        <f t="shared" si="5"/>
        <v>1370.388</v>
      </c>
      <c r="Y294" s="14">
        <f t="shared" si="6"/>
        <v>-0.534</v>
      </c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</row>
    <row r="295">
      <c r="A295" s="7"/>
      <c r="B295" s="7"/>
      <c r="C295" s="7"/>
      <c r="D295" s="7"/>
      <c r="E295" s="7"/>
      <c r="F295" s="7" t="s">
        <v>22</v>
      </c>
      <c r="G295" s="8">
        <v>1412.0</v>
      </c>
      <c r="H295" s="9">
        <v>39.2487897222</v>
      </c>
      <c r="I295" s="9">
        <v>-112.884106111</v>
      </c>
      <c r="J295" s="10">
        <v>1375.21</v>
      </c>
      <c r="K295" s="11">
        <v>2126.274</v>
      </c>
      <c r="L295" s="11">
        <v>-5344.062</v>
      </c>
      <c r="M295" s="11">
        <v>2.566</v>
      </c>
      <c r="N295" s="11">
        <v>2126.272</v>
      </c>
      <c r="O295" s="11">
        <v>-5344.058</v>
      </c>
      <c r="P295" s="11">
        <v>-2.124</v>
      </c>
      <c r="Q295" s="11">
        <v>1389.46</v>
      </c>
      <c r="R295" s="11">
        <v>-19.936</v>
      </c>
      <c r="S295" s="12">
        <v>0.89</v>
      </c>
      <c r="T295" s="13">
        <f t="shared" si="1"/>
        <v>1370.414</v>
      </c>
      <c r="U295" s="14">
        <f t="shared" si="2"/>
        <v>4.796</v>
      </c>
      <c r="V295" s="14">
        <f t="shared" si="3"/>
        <v>0.3069053613</v>
      </c>
      <c r="W295" s="15" t="str">
        <f t="shared" si="4"/>
        <v/>
      </c>
      <c r="X295" s="11">
        <f t="shared" si="5"/>
        <v>1370.658</v>
      </c>
      <c r="Y295" s="14">
        <f t="shared" si="6"/>
        <v>-0.244</v>
      </c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</row>
    <row r="296">
      <c r="A296" s="7"/>
      <c r="B296" s="7"/>
      <c r="C296" s="7"/>
      <c r="D296" s="7"/>
      <c r="E296" s="7"/>
      <c r="F296" s="7" t="s">
        <v>22</v>
      </c>
      <c r="G296" s="8">
        <v>1413.0</v>
      </c>
      <c r="H296" s="9">
        <v>39.2609094444</v>
      </c>
      <c r="I296" s="9">
        <v>-112.882626944</v>
      </c>
      <c r="J296" s="10">
        <v>1374.47</v>
      </c>
      <c r="K296" s="11">
        <v>2253.584</v>
      </c>
      <c r="L296" s="11">
        <v>-3998.28</v>
      </c>
      <c r="M296" s="11">
        <v>2.77</v>
      </c>
      <c r="N296" s="11">
        <v>2253.582</v>
      </c>
      <c r="O296" s="11">
        <v>-3998.277</v>
      </c>
      <c r="P296" s="11">
        <v>-1.7</v>
      </c>
      <c r="Q296" s="11">
        <v>1388.92</v>
      </c>
      <c r="R296" s="11">
        <v>-19.925</v>
      </c>
      <c r="S296" s="12">
        <v>0.89</v>
      </c>
      <c r="T296" s="13">
        <f t="shared" si="1"/>
        <v>1369.885</v>
      </c>
      <c r="U296" s="14">
        <f t="shared" si="2"/>
        <v>4.585</v>
      </c>
      <c r="V296" s="14">
        <f t="shared" si="3"/>
        <v>0.04150769231</v>
      </c>
      <c r="W296" s="15" t="str">
        <f t="shared" si="4"/>
        <v/>
      </c>
      <c r="X296" s="11">
        <f t="shared" si="5"/>
        <v>1369.918</v>
      </c>
      <c r="Y296" s="14">
        <f t="shared" si="6"/>
        <v>-0.033</v>
      </c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</row>
    <row r="297">
      <c r="A297" s="7"/>
      <c r="B297" s="7"/>
      <c r="C297" s="7"/>
      <c r="D297" s="7"/>
      <c r="E297" s="7"/>
      <c r="F297" s="7" t="s">
        <v>22</v>
      </c>
      <c r="G297" s="8">
        <v>1414.0</v>
      </c>
      <c r="H297" s="9">
        <v>39.2705777778</v>
      </c>
      <c r="I297" s="9">
        <v>-112.884332222</v>
      </c>
      <c r="J297" s="10">
        <v>1374.38</v>
      </c>
      <c r="K297" s="11">
        <v>2106.108</v>
      </c>
      <c r="L297" s="11">
        <v>-2924.631</v>
      </c>
      <c r="M297" s="11">
        <v>3.315</v>
      </c>
      <c r="N297" s="11">
        <v>2106.107</v>
      </c>
      <c r="O297" s="11">
        <v>-2924.629</v>
      </c>
      <c r="P297" s="11">
        <v>-1.205</v>
      </c>
      <c r="Q297" s="11">
        <v>1388.78</v>
      </c>
      <c r="R297" s="11">
        <v>-19.919</v>
      </c>
      <c r="S297" s="12">
        <v>0.89</v>
      </c>
      <c r="T297" s="13">
        <f t="shared" si="1"/>
        <v>1369.751</v>
      </c>
      <c r="U297" s="14">
        <f t="shared" si="2"/>
        <v>4.629</v>
      </c>
      <c r="V297" s="14">
        <f t="shared" si="3"/>
        <v>0.09685128205</v>
      </c>
      <c r="W297" s="15" t="str">
        <f t="shared" si="4"/>
        <v/>
      </c>
      <c r="X297" s="11">
        <f t="shared" si="5"/>
        <v>1369.828</v>
      </c>
      <c r="Y297" s="14">
        <f t="shared" si="6"/>
        <v>-0.077</v>
      </c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</row>
    <row r="298">
      <c r="A298" s="7"/>
      <c r="B298" s="7"/>
      <c r="C298" s="7"/>
      <c r="D298" s="7"/>
      <c r="E298" s="7"/>
      <c r="F298" s="7" t="s">
        <v>22</v>
      </c>
      <c r="G298" s="8">
        <v>1415.0</v>
      </c>
      <c r="H298" s="9">
        <v>39.2813919444</v>
      </c>
      <c r="I298" s="9">
        <v>-112.884227778</v>
      </c>
      <c r="J298" s="10">
        <v>1374.31</v>
      </c>
      <c r="K298" s="11">
        <v>2114.76</v>
      </c>
      <c r="L298" s="11">
        <v>-1723.791</v>
      </c>
      <c r="M298" s="11">
        <v>3.68</v>
      </c>
      <c r="N298" s="11">
        <v>2114.758</v>
      </c>
      <c r="O298" s="11">
        <v>-1723.79</v>
      </c>
      <c r="P298" s="11">
        <v>-1.03</v>
      </c>
      <c r="Q298" s="11">
        <v>1388.51</v>
      </c>
      <c r="R298" s="11">
        <v>-19.91</v>
      </c>
      <c r="S298" s="12">
        <v>0.89</v>
      </c>
      <c r="T298" s="13">
        <f t="shared" si="1"/>
        <v>1369.49</v>
      </c>
      <c r="U298" s="14">
        <f t="shared" si="2"/>
        <v>4.82</v>
      </c>
      <c r="V298" s="14">
        <f t="shared" si="3"/>
        <v>0.3370927739</v>
      </c>
      <c r="W298" s="15" t="str">
        <f t="shared" si="4"/>
        <v/>
      </c>
      <c r="X298" s="11">
        <f t="shared" si="5"/>
        <v>1369.758</v>
      </c>
      <c r="Y298" s="14">
        <f t="shared" si="6"/>
        <v>-0.268</v>
      </c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</row>
    <row r="299">
      <c r="A299" s="7"/>
      <c r="B299" s="7"/>
      <c r="C299" s="7"/>
      <c r="D299" s="7"/>
      <c r="E299" s="7"/>
      <c r="F299" s="7" t="s">
        <v>22</v>
      </c>
      <c r="G299" s="8">
        <v>1416.0</v>
      </c>
      <c r="H299" s="9">
        <v>39.2921375</v>
      </c>
      <c r="I299" s="9">
        <v>-112.884281944</v>
      </c>
      <c r="J299" s="10">
        <v>1374.07</v>
      </c>
      <c r="K299" s="11">
        <v>2109.777</v>
      </c>
      <c r="L299" s="11">
        <v>-530.503</v>
      </c>
      <c r="M299" s="11">
        <v>3.653</v>
      </c>
      <c r="N299" s="11">
        <v>2109.776</v>
      </c>
      <c r="O299" s="11">
        <v>-530.503</v>
      </c>
      <c r="P299" s="11">
        <v>-0.987</v>
      </c>
      <c r="Q299" s="11">
        <v>1388.33</v>
      </c>
      <c r="R299" s="11">
        <v>-19.902</v>
      </c>
      <c r="S299" s="12">
        <v>0.89</v>
      </c>
      <c r="T299" s="13">
        <f t="shared" si="1"/>
        <v>1369.318</v>
      </c>
      <c r="U299" s="14">
        <f t="shared" si="2"/>
        <v>4.752</v>
      </c>
      <c r="V299" s="14">
        <f t="shared" si="3"/>
        <v>0.2515617716</v>
      </c>
      <c r="W299" s="15" t="str">
        <f t="shared" si="4"/>
        <v/>
      </c>
      <c r="X299" s="11">
        <f t="shared" si="5"/>
        <v>1369.518</v>
      </c>
      <c r="Y299" s="14">
        <f t="shared" si="6"/>
        <v>-0.2</v>
      </c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</row>
    <row r="300">
      <c r="A300" s="7"/>
      <c r="B300" s="7"/>
      <c r="C300" s="7"/>
      <c r="D300" s="7"/>
      <c r="E300" s="7"/>
      <c r="F300" s="7" t="s">
        <v>22</v>
      </c>
      <c r="G300" s="8">
        <v>1417.0</v>
      </c>
      <c r="H300" s="9">
        <v>39.3030058333</v>
      </c>
      <c r="I300" s="9">
        <v>-112.884301389</v>
      </c>
      <c r="J300" s="10">
        <v>1373.92</v>
      </c>
      <c r="K300" s="11">
        <v>2107.812</v>
      </c>
      <c r="L300" s="11">
        <v>676.335</v>
      </c>
      <c r="M300" s="11">
        <v>3.49</v>
      </c>
      <c r="N300" s="11">
        <v>2107.81</v>
      </c>
      <c r="O300" s="11">
        <v>676.334</v>
      </c>
      <c r="P300" s="11">
        <v>-0.83</v>
      </c>
      <c r="Q300" s="11">
        <v>1388.49</v>
      </c>
      <c r="R300" s="11">
        <v>-19.893</v>
      </c>
      <c r="S300" s="12">
        <v>0.89</v>
      </c>
      <c r="T300" s="13">
        <f t="shared" si="1"/>
        <v>1369.487</v>
      </c>
      <c r="U300" s="14">
        <f t="shared" si="2"/>
        <v>4.433</v>
      </c>
      <c r="V300" s="14">
        <f t="shared" si="3"/>
        <v>-0.1496792541</v>
      </c>
      <c r="W300" s="15" t="str">
        <f t="shared" si="4"/>
        <v/>
      </c>
      <c r="X300" s="11">
        <f t="shared" si="5"/>
        <v>1369.368</v>
      </c>
      <c r="Y300" s="14">
        <f t="shared" si="6"/>
        <v>0.119</v>
      </c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</row>
    <row r="301">
      <c r="A301" s="7"/>
      <c r="B301" s="7"/>
      <c r="C301" s="7"/>
      <c r="D301" s="7"/>
      <c r="E301" s="7"/>
      <c r="F301" s="7" t="s">
        <v>22</v>
      </c>
      <c r="G301" s="8">
        <v>1418.0</v>
      </c>
      <c r="H301" s="9">
        <v>39.3137813889</v>
      </c>
      <c r="I301" s="9">
        <v>-112.884272778</v>
      </c>
      <c r="J301" s="10">
        <v>1374.48</v>
      </c>
      <c r="K301" s="11">
        <v>2109.904</v>
      </c>
      <c r="L301" s="11">
        <v>1872.849</v>
      </c>
      <c r="M301" s="11">
        <v>3.81</v>
      </c>
      <c r="N301" s="11">
        <v>2109.902</v>
      </c>
      <c r="O301" s="11">
        <v>1872.848</v>
      </c>
      <c r="P301" s="11">
        <v>-1.6</v>
      </c>
      <c r="Q301" s="11">
        <v>1387.95</v>
      </c>
      <c r="R301" s="11">
        <v>-19.883</v>
      </c>
      <c r="S301" s="12">
        <v>0.89</v>
      </c>
      <c r="T301" s="13">
        <f t="shared" si="1"/>
        <v>1368.957</v>
      </c>
      <c r="U301" s="14">
        <f t="shared" si="2"/>
        <v>5.523</v>
      </c>
      <c r="V301" s="14">
        <f t="shared" si="3"/>
        <v>1.221332401</v>
      </c>
      <c r="W301" s="15" t="str">
        <f t="shared" si="4"/>
        <v/>
      </c>
      <c r="X301" s="11">
        <f t="shared" si="5"/>
        <v>1369.928</v>
      </c>
      <c r="Y301" s="14">
        <f t="shared" si="6"/>
        <v>-0.971</v>
      </c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</row>
    <row r="302">
      <c r="A302" s="7"/>
      <c r="B302" s="7"/>
      <c r="C302" s="7"/>
      <c r="D302" s="7"/>
      <c r="E302" s="7"/>
      <c r="F302" s="7" t="s">
        <v>22</v>
      </c>
      <c r="G302" s="8">
        <v>1419.0</v>
      </c>
      <c r="H302" s="9">
        <v>39.3247186111</v>
      </c>
      <c r="I302" s="9">
        <v>-112.884360833</v>
      </c>
      <c r="J302" s="10">
        <v>1372.97</v>
      </c>
      <c r="K302" s="11">
        <v>2101.985</v>
      </c>
      <c r="L302" s="11">
        <v>3087.463</v>
      </c>
      <c r="M302" s="11">
        <v>1.829</v>
      </c>
      <c r="N302" s="11">
        <v>2101.984</v>
      </c>
      <c r="O302" s="11">
        <v>3087.461</v>
      </c>
      <c r="P302" s="11">
        <v>-2.231</v>
      </c>
      <c r="Q302" s="11">
        <v>1387.78</v>
      </c>
      <c r="R302" s="11">
        <v>-19.871</v>
      </c>
      <c r="S302" s="12">
        <v>0.89</v>
      </c>
      <c r="T302" s="13">
        <f t="shared" si="1"/>
        <v>1368.799</v>
      </c>
      <c r="U302" s="14">
        <f t="shared" si="2"/>
        <v>4.171</v>
      </c>
      <c r="V302" s="14">
        <f t="shared" si="3"/>
        <v>-0.4792251748</v>
      </c>
      <c r="W302" s="15" t="str">
        <f t="shared" si="4"/>
        <v/>
      </c>
      <c r="X302" s="11">
        <f t="shared" si="5"/>
        <v>1368.418</v>
      </c>
      <c r="Y302" s="14">
        <f t="shared" si="6"/>
        <v>0.381</v>
      </c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</row>
    <row r="303">
      <c r="A303" s="7"/>
      <c r="B303" s="7"/>
      <c r="C303" s="7"/>
      <c r="D303" s="7"/>
      <c r="E303" s="7"/>
      <c r="F303" s="7" t="s">
        <v>22</v>
      </c>
      <c r="G303" s="8">
        <v>1420.0</v>
      </c>
      <c r="H303" s="9">
        <v>39.3355025</v>
      </c>
      <c r="I303" s="9">
        <v>-112.884239444</v>
      </c>
      <c r="J303" s="10">
        <v>1373.3</v>
      </c>
      <c r="K303" s="11">
        <v>2112.183</v>
      </c>
      <c r="L303" s="11">
        <v>4284.983</v>
      </c>
      <c r="M303" s="11">
        <v>1.462</v>
      </c>
      <c r="N303" s="11">
        <v>2112.181</v>
      </c>
      <c r="O303" s="11">
        <v>4284.979</v>
      </c>
      <c r="P303" s="11">
        <v>-4.158</v>
      </c>
      <c r="Q303" s="11">
        <v>1386.54</v>
      </c>
      <c r="R303" s="11">
        <v>-19.858</v>
      </c>
      <c r="S303" s="12">
        <v>0.89</v>
      </c>
      <c r="T303" s="13">
        <f t="shared" si="1"/>
        <v>1367.572</v>
      </c>
      <c r="U303" s="14">
        <f t="shared" si="2"/>
        <v>5.728</v>
      </c>
      <c r="V303" s="14">
        <f t="shared" si="3"/>
        <v>1.479183217</v>
      </c>
      <c r="W303" s="15" t="str">
        <f t="shared" si="4"/>
        <v/>
      </c>
      <c r="X303" s="11">
        <f t="shared" si="5"/>
        <v>1368.748</v>
      </c>
      <c r="Y303" s="14">
        <f t="shared" si="6"/>
        <v>-1.176</v>
      </c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</row>
    <row r="304">
      <c r="A304" s="7"/>
      <c r="B304" s="7"/>
      <c r="C304" s="7"/>
      <c r="D304" s="7"/>
      <c r="E304" s="7"/>
      <c r="F304" s="7" t="s">
        <v>22</v>
      </c>
      <c r="G304" s="8">
        <v>1421.0</v>
      </c>
      <c r="H304" s="9">
        <v>39.3462591667</v>
      </c>
      <c r="I304" s="9">
        <v>-112.884093889</v>
      </c>
      <c r="J304" s="10">
        <v>1373.61</v>
      </c>
      <c r="K304" s="11">
        <v>2124.361</v>
      </c>
      <c r="L304" s="11">
        <v>5479.397</v>
      </c>
      <c r="M304" s="11">
        <v>0.851</v>
      </c>
      <c r="N304" s="11">
        <v>2124.36</v>
      </c>
      <c r="O304" s="11">
        <v>5479.394</v>
      </c>
      <c r="P304" s="11">
        <v>-2.199</v>
      </c>
      <c r="Q304" s="11">
        <v>1389.4</v>
      </c>
      <c r="R304" s="11">
        <v>-19.842</v>
      </c>
      <c r="S304" s="12">
        <v>0.89</v>
      </c>
      <c r="T304" s="13">
        <f t="shared" si="1"/>
        <v>1370.448</v>
      </c>
      <c r="U304" s="14">
        <f t="shared" si="2"/>
        <v>3.162</v>
      </c>
      <c r="V304" s="14">
        <f t="shared" si="3"/>
        <v>-1.748354312</v>
      </c>
      <c r="W304" s="15" t="str">
        <f t="shared" si="4"/>
        <v/>
      </c>
      <c r="X304" s="11">
        <f t="shared" si="5"/>
        <v>1369.058</v>
      </c>
      <c r="Y304" s="14">
        <f t="shared" si="6"/>
        <v>1.39</v>
      </c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</row>
    <row r="305">
      <c r="A305" s="7"/>
      <c r="B305" s="7"/>
      <c r="C305" s="7"/>
      <c r="D305" s="7"/>
      <c r="E305" s="7"/>
      <c r="F305" s="7" t="s">
        <v>22</v>
      </c>
      <c r="G305" s="8">
        <v>1422.0</v>
      </c>
      <c r="H305" s="9">
        <v>39.3570880556</v>
      </c>
      <c r="I305" s="9">
        <v>-112.884110278</v>
      </c>
      <c r="J305" s="10">
        <v>1374.97</v>
      </c>
      <c r="K305" s="11">
        <v>2122.655</v>
      </c>
      <c r="L305" s="11">
        <v>6681.916</v>
      </c>
      <c r="M305" s="11">
        <v>1.063</v>
      </c>
      <c r="N305" s="11">
        <v>2122.653</v>
      </c>
      <c r="O305" s="11">
        <v>6681.912</v>
      </c>
      <c r="P305" s="11">
        <v>-2.847</v>
      </c>
      <c r="Q305" s="11">
        <v>1389.88</v>
      </c>
      <c r="R305" s="11">
        <v>-19.824</v>
      </c>
      <c r="S305" s="12">
        <v>0.89</v>
      </c>
      <c r="T305" s="13">
        <f t="shared" si="1"/>
        <v>1370.946</v>
      </c>
      <c r="U305" s="14">
        <f t="shared" si="2"/>
        <v>4.024</v>
      </c>
      <c r="V305" s="14">
        <f t="shared" si="3"/>
        <v>-0.6641230769</v>
      </c>
      <c r="W305" s="15" t="str">
        <f t="shared" si="4"/>
        <v/>
      </c>
      <c r="X305" s="11">
        <f t="shared" si="5"/>
        <v>1370.418</v>
      </c>
      <c r="Y305" s="14">
        <f t="shared" si="6"/>
        <v>0.528</v>
      </c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</row>
    <row r="306">
      <c r="A306" s="7"/>
      <c r="B306" s="7"/>
      <c r="C306" s="7"/>
      <c r="D306" s="7"/>
      <c r="E306" s="7"/>
      <c r="F306" s="7" t="s">
        <v>22</v>
      </c>
      <c r="G306" s="8">
        <v>1423.0</v>
      </c>
      <c r="H306" s="9">
        <v>39.3679511111</v>
      </c>
      <c r="I306" s="9">
        <v>-112.884145833</v>
      </c>
      <c r="J306" s="10">
        <v>1377.39</v>
      </c>
      <c r="K306" s="11">
        <v>2119.224</v>
      </c>
      <c r="L306" s="11">
        <v>7888.215</v>
      </c>
      <c r="M306" s="11">
        <v>2.103</v>
      </c>
      <c r="N306" s="11">
        <v>2119.222</v>
      </c>
      <c r="O306" s="11">
        <v>7888.21</v>
      </c>
      <c r="P306" s="11">
        <v>-1.707</v>
      </c>
      <c r="Q306" s="11">
        <v>1392.38</v>
      </c>
      <c r="R306" s="11">
        <v>-19.803</v>
      </c>
      <c r="S306" s="12">
        <v>0.89</v>
      </c>
      <c r="T306" s="13">
        <f t="shared" si="1"/>
        <v>1373.467</v>
      </c>
      <c r="U306" s="14">
        <f t="shared" si="2"/>
        <v>3.923</v>
      </c>
      <c r="V306" s="14">
        <f t="shared" si="3"/>
        <v>-0.7911617716</v>
      </c>
      <c r="W306" s="15" t="str">
        <f t="shared" si="4"/>
        <v/>
      </c>
      <c r="X306" s="11">
        <f t="shared" si="5"/>
        <v>1372.838</v>
      </c>
      <c r="Y306" s="14">
        <f t="shared" si="6"/>
        <v>0.629</v>
      </c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</row>
    <row r="307">
      <c r="A307" s="7"/>
      <c r="B307" s="7"/>
      <c r="C307" s="7"/>
      <c r="D307" s="7"/>
      <c r="E307" s="7"/>
      <c r="F307" s="7" t="s">
        <v>22</v>
      </c>
      <c r="G307" s="8">
        <v>1424.0</v>
      </c>
      <c r="H307" s="9">
        <v>39.3787752778</v>
      </c>
      <c r="I307" s="9">
        <v>-112.884121111</v>
      </c>
      <c r="J307" s="10">
        <v>1383.23</v>
      </c>
      <c r="K307" s="11">
        <v>2121.053</v>
      </c>
      <c r="L307" s="11">
        <v>9090.191</v>
      </c>
      <c r="M307" s="11">
        <v>6.338</v>
      </c>
      <c r="N307" s="11">
        <v>2121.052</v>
      </c>
      <c r="O307" s="11">
        <v>9090.186</v>
      </c>
      <c r="P307" s="11">
        <v>2.458</v>
      </c>
      <c r="Q307" s="11">
        <v>1398.13</v>
      </c>
      <c r="R307" s="11">
        <v>-19.781</v>
      </c>
      <c r="S307" s="12">
        <v>0.89</v>
      </c>
      <c r="T307" s="13">
        <f t="shared" si="1"/>
        <v>1379.239</v>
      </c>
      <c r="U307" s="14">
        <f t="shared" si="2"/>
        <v>3.991</v>
      </c>
      <c r="V307" s="14">
        <f t="shared" si="3"/>
        <v>-0.7056307692</v>
      </c>
      <c r="W307" s="15" t="str">
        <f t="shared" si="4"/>
        <v/>
      </c>
      <c r="X307" s="11">
        <f t="shared" si="5"/>
        <v>1378.678</v>
      </c>
      <c r="Y307" s="14">
        <f t="shared" si="6"/>
        <v>0.561</v>
      </c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</row>
    <row r="308">
      <c r="A308" s="7"/>
      <c r="B308" s="7"/>
      <c r="C308" s="7"/>
      <c r="D308" s="7"/>
      <c r="E308" s="7"/>
      <c r="F308" s="7" t="s">
        <v>22</v>
      </c>
      <c r="G308" s="8">
        <v>1425.0</v>
      </c>
      <c r="H308" s="9">
        <v>39.3895011111</v>
      </c>
      <c r="I308" s="9">
        <v>-112.884054722</v>
      </c>
      <c r="J308" s="10">
        <v>1390.76</v>
      </c>
      <c r="K308" s="11">
        <v>2126.418</v>
      </c>
      <c r="L308" s="11">
        <v>10281.293</v>
      </c>
      <c r="M308" s="11">
        <v>12.053</v>
      </c>
      <c r="N308" s="11">
        <v>2126.416</v>
      </c>
      <c r="O308" s="11">
        <v>10281.286</v>
      </c>
      <c r="P308" s="11">
        <v>7.493</v>
      </c>
      <c r="Q308" s="11">
        <v>1404.96</v>
      </c>
      <c r="R308" s="11">
        <v>-19.756</v>
      </c>
      <c r="S308" s="12">
        <v>0.89</v>
      </c>
      <c r="T308" s="13">
        <f t="shared" si="1"/>
        <v>1386.094</v>
      </c>
      <c r="U308" s="14">
        <f t="shared" si="2"/>
        <v>4.666</v>
      </c>
      <c r="V308" s="14">
        <f t="shared" si="3"/>
        <v>0.1433902098</v>
      </c>
      <c r="W308" s="15" t="str">
        <f t="shared" si="4"/>
        <v/>
      </c>
      <c r="X308" s="11">
        <f t="shared" si="5"/>
        <v>1386.208</v>
      </c>
      <c r="Y308" s="14">
        <f t="shared" si="6"/>
        <v>-0.114</v>
      </c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</row>
    <row r="309">
      <c r="A309" s="7"/>
      <c r="B309" s="7"/>
      <c r="C309" s="7"/>
      <c r="D309" s="7"/>
      <c r="E309" s="7"/>
      <c r="F309" s="7" t="s">
        <v>22</v>
      </c>
      <c r="G309" s="8">
        <v>1426.0</v>
      </c>
      <c r="H309" s="9">
        <v>39.4002713889</v>
      </c>
      <c r="I309" s="9">
        <v>-112.883973056</v>
      </c>
      <c r="J309" s="10">
        <v>1404.94</v>
      </c>
      <c r="K309" s="11">
        <v>2133.16</v>
      </c>
      <c r="L309" s="11">
        <v>11477.298</v>
      </c>
      <c r="M309" s="11">
        <v>24.186</v>
      </c>
      <c r="N309" s="11">
        <v>2133.159</v>
      </c>
      <c r="O309" s="11">
        <v>11477.29</v>
      </c>
      <c r="P309" s="11">
        <v>19.536</v>
      </c>
      <c r="Q309" s="11">
        <v>1419.02</v>
      </c>
      <c r="R309" s="11">
        <v>-19.728</v>
      </c>
      <c r="S309" s="12">
        <v>0.89</v>
      </c>
      <c r="T309" s="13">
        <f t="shared" si="1"/>
        <v>1400.182</v>
      </c>
      <c r="U309" s="14">
        <f t="shared" si="2"/>
        <v>4.758</v>
      </c>
      <c r="V309" s="14">
        <f t="shared" si="3"/>
        <v>0.2591086247</v>
      </c>
      <c r="W309" s="15" t="str">
        <f t="shared" si="4"/>
        <v/>
      </c>
      <c r="X309" s="11">
        <f t="shared" si="5"/>
        <v>1400.388</v>
      </c>
      <c r="Y309" s="14">
        <f t="shared" si="6"/>
        <v>-0.206</v>
      </c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</row>
    <row r="310">
      <c r="A310" s="7"/>
      <c r="B310" s="7"/>
      <c r="C310" s="7"/>
      <c r="D310" s="7"/>
      <c r="E310" s="7"/>
      <c r="F310" s="7" t="s">
        <v>22</v>
      </c>
      <c r="G310" s="8">
        <v>1427.0</v>
      </c>
      <c r="H310" s="9">
        <v>39.4109619444</v>
      </c>
      <c r="I310" s="9">
        <v>-112.883865</v>
      </c>
      <c r="J310" s="10">
        <v>1425.26</v>
      </c>
      <c r="K310" s="11">
        <v>2142.145</v>
      </c>
      <c r="L310" s="11">
        <v>12664.551</v>
      </c>
      <c r="M310" s="11">
        <v>42.25</v>
      </c>
      <c r="N310" s="11">
        <v>2142.143</v>
      </c>
      <c r="O310" s="11">
        <v>12664.541</v>
      </c>
      <c r="P310" s="11">
        <v>37.48</v>
      </c>
      <c r="Q310" s="11">
        <v>1439.19</v>
      </c>
      <c r="R310" s="11">
        <v>-19.701</v>
      </c>
      <c r="S310" s="12">
        <v>0.89</v>
      </c>
      <c r="T310" s="13">
        <f t="shared" si="1"/>
        <v>1420.379</v>
      </c>
      <c r="U310" s="14">
        <f t="shared" si="2"/>
        <v>4.881</v>
      </c>
      <c r="V310" s="14">
        <f t="shared" si="3"/>
        <v>0.4138191142</v>
      </c>
      <c r="W310" s="15" t="str">
        <f t="shared" si="4"/>
        <v/>
      </c>
      <c r="X310" s="11">
        <f t="shared" si="5"/>
        <v>1420.708</v>
      </c>
      <c r="Y310" s="14">
        <f t="shared" si="6"/>
        <v>-0.329</v>
      </c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</row>
    <row r="311">
      <c r="A311" s="7"/>
      <c r="B311" s="7"/>
      <c r="C311" s="7"/>
      <c r="D311" s="7"/>
      <c r="E311" s="7"/>
      <c r="F311" s="7" t="s">
        <v>22</v>
      </c>
      <c r="G311" s="8">
        <v>1428.0</v>
      </c>
      <c r="H311" s="9">
        <v>39.4217208333</v>
      </c>
      <c r="I311" s="9">
        <v>-112.883885278</v>
      </c>
      <c r="J311" s="10">
        <v>1459.15</v>
      </c>
      <c r="K311" s="11">
        <v>2140.104</v>
      </c>
      <c r="L311" s="11">
        <v>13859.39</v>
      </c>
      <c r="M311" s="11">
        <v>73.651</v>
      </c>
      <c r="N311" s="11">
        <v>2140.103</v>
      </c>
      <c r="O311" s="11">
        <v>13859.382</v>
      </c>
      <c r="P311" s="11">
        <v>69.761</v>
      </c>
      <c r="Q311" s="11">
        <v>1473.94</v>
      </c>
      <c r="R311" s="11">
        <v>-19.676</v>
      </c>
      <c r="S311" s="12">
        <v>0.89</v>
      </c>
      <c r="T311" s="13">
        <f t="shared" si="1"/>
        <v>1455.154</v>
      </c>
      <c r="U311" s="14">
        <f t="shared" si="2"/>
        <v>3.996</v>
      </c>
      <c r="V311" s="14">
        <f t="shared" si="3"/>
        <v>-0.6993417249</v>
      </c>
      <c r="W311" s="15" t="str">
        <f t="shared" si="4"/>
        <v/>
      </c>
      <c r="X311" s="11">
        <f t="shared" si="5"/>
        <v>1454.598</v>
      </c>
      <c r="Y311" s="14">
        <f t="shared" si="6"/>
        <v>0.556</v>
      </c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</row>
    <row r="312">
      <c r="A312" s="7"/>
      <c r="B312" s="7"/>
      <c r="C312" s="7"/>
      <c r="D312" s="7"/>
      <c r="E312" s="7"/>
      <c r="F312" s="7" t="s">
        <v>22</v>
      </c>
      <c r="G312" s="8">
        <v>1501.0</v>
      </c>
      <c r="H312" s="9">
        <v>39.1299269444</v>
      </c>
      <c r="I312" s="9">
        <v>-112.870703611</v>
      </c>
      <c r="J312" s="10">
        <v>1382.15</v>
      </c>
      <c r="K312" s="11">
        <v>3288.952</v>
      </c>
      <c r="L312" s="11">
        <v>-18542.571</v>
      </c>
      <c r="M312" s="11">
        <v>-15.763</v>
      </c>
      <c r="N312" s="11">
        <v>3288.949</v>
      </c>
      <c r="O312" s="11">
        <v>-18542.552</v>
      </c>
      <c r="P312" s="11">
        <v>-22.223</v>
      </c>
      <c r="Q312" s="11">
        <v>1394.7</v>
      </c>
      <c r="R312" s="11">
        <v>-20.007</v>
      </c>
      <c r="S312" s="12">
        <v>0.89</v>
      </c>
      <c r="T312" s="13">
        <f t="shared" si="1"/>
        <v>1375.583</v>
      </c>
      <c r="U312" s="14">
        <f t="shared" si="2"/>
        <v>6.567</v>
      </c>
      <c r="V312" s="14">
        <f t="shared" si="3"/>
        <v>2.534484848</v>
      </c>
      <c r="W312" s="15" t="str">
        <f t="shared" si="4"/>
        <v/>
      </c>
      <c r="X312" s="11">
        <f t="shared" si="5"/>
        <v>1377.598</v>
      </c>
      <c r="Y312" s="14">
        <f t="shared" si="6"/>
        <v>-2.015</v>
      </c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</row>
    <row r="313">
      <c r="A313" s="7"/>
      <c r="B313" s="7"/>
      <c r="C313" s="7"/>
      <c r="D313" s="7"/>
      <c r="E313" s="7"/>
      <c r="F313" s="7" t="s">
        <v>22</v>
      </c>
      <c r="G313" s="8">
        <v>1502.0</v>
      </c>
      <c r="H313" s="9">
        <v>39.1407441667</v>
      </c>
      <c r="I313" s="9">
        <v>-112.870755833</v>
      </c>
      <c r="J313" s="10">
        <v>1376.35</v>
      </c>
      <c r="K313" s="11">
        <v>3283.949</v>
      </c>
      <c r="L313" s="11">
        <v>-17341.418</v>
      </c>
      <c r="M313" s="11">
        <v>-18.173</v>
      </c>
      <c r="N313" s="11">
        <v>3283.947</v>
      </c>
      <c r="O313" s="11">
        <v>-17341.403</v>
      </c>
      <c r="P313" s="11">
        <v>-23.693</v>
      </c>
      <c r="Q313" s="11">
        <v>1389.84</v>
      </c>
      <c r="R313" s="11">
        <v>-20.008</v>
      </c>
      <c r="S313" s="12">
        <v>0.89</v>
      </c>
      <c r="T313" s="13">
        <f t="shared" si="1"/>
        <v>1370.722</v>
      </c>
      <c r="U313" s="14">
        <f t="shared" si="2"/>
        <v>5.628</v>
      </c>
      <c r="V313" s="14">
        <f t="shared" si="3"/>
        <v>1.353402331</v>
      </c>
      <c r="W313" s="15" t="str">
        <f t="shared" si="4"/>
        <v/>
      </c>
      <c r="X313" s="11">
        <f t="shared" si="5"/>
        <v>1371.798</v>
      </c>
      <c r="Y313" s="14">
        <f t="shared" si="6"/>
        <v>-1.076</v>
      </c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</row>
    <row r="314">
      <c r="A314" s="7"/>
      <c r="B314" s="7"/>
      <c r="C314" s="7"/>
      <c r="D314" s="7"/>
      <c r="E314" s="7"/>
      <c r="F314" s="7" t="s">
        <v>22</v>
      </c>
      <c r="G314" s="8">
        <v>1503.0</v>
      </c>
      <c r="H314" s="9">
        <v>39.1507386111</v>
      </c>
      <c r="I314" s="9">
        <v>-112.872146389</v>
      </c>
      <c r="J314" s="10">
        <v>1375.16</v>
      </c>
      <c r="K314" s="11">
        <v>3163.304</v>
      </c>
      <c r="L314" s="11">
        <v>-16231.601</v>
      </c>
      <c r="M314" s="11">
        <v>-16.374</v>
      </c>
      <c r="N314" s="11">
        <v>3163.301</v>
      </c>
      <c r="O314" s="11">
        <v>-16231.587</v>
      </c>
      <c r="P314" s="11">
        <v>-21.984</v>
      </c>
      <c r="Q314" s="11">
        <v>1388.56</v>
      </c>
      <c r="R314" s="11">
        <v>-20.007</v>
      </c>
      <c r="S314" s="12">
        <v>0.89</v>
      </c>
      <c r="T314" s="13">
        <f t="shared" si="1"/>
        <v>1369.443</v>
      </c>
      <c r="U314" s="14">
        <f t="shared" si="2"/>
        <v>5.717</v>
      </c>
      <c r="V314" s="14">
        <f t="shared" si="3"/>
        <v>1.465347319</v>
      </c>
      <c r="W314" s="15" t="str">
        <f t="shared" si="4"/>
        <v/>
      </c>
      <c r="X314" s="11">
        <f t="shared" si="5"/>
        <v>1370.608</v>
      </c>
      <c r="Y314" s="14">
        <f t="shared" si="6"/>
        <v>-1.165</v>
      </c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</row>
    <row r="315">
      <c r="A315" s="7"/>
      <c r="B315" s="7"/>
      <c r="C315" s="7"/>
      <c r="D315" s="7"/>
      <c r="E315" s="7"/>
      <c r="F315" s="7" t="s">
        <v>22</v>
      </c>
      <c r="G315" s="8">
        <v>1504.0</v>
      </c>
      <c r="H315" s="9">
        <v>39.162245</v>
      </c>
      <c r="I315" s="9">
        <v>-112.870355</v>
      </c>
      <c r="J315" s="10">
        <v>1376.01</v>
      </c>
      <c r="K315" s="11">
        <v>3317.615</v>
      </c>
      <c r="L315" s="11">
        <v>-14953.888</v>
      </c>
      <c r="M315" s="11">
        <v>-12.471</v>
      </c>
      <c r="N315" s="11">
        <v>3317.613</v>
      </c>
      <c r="O315" s="11">
        <v>-14953.876</v>
      </c>
      <c r="P315" s="11">
        <v>-17.491</v>
      </c>
      <c r="Q315" s="11">
        <v>1389.99</v>
      </c>
      <c r="R315" s="11">
        <v>-19.999</v>
      </c>
      <c r="S315" s="12">
        <v>0.89</v>
      </c>
      <c r="T315" s="13">
        <f t="shared" si="1"/>
        <v>1370.881</v>
      </c>
      <c r="U315" s="14">
        <f t="shared" si="2"/>
        <v>5.129</v>
      </c>
      <c r="V315" s="14">
        <f t="shared" si="3"/>
        <v>0.725755711</v>
      </c>
      <c r="W315" s="15" t="str">
        <f t="shared" si="4"/>
        <v/>
      </c>
      <c r="X315" s="11">
        <f t="shared" si="5"/>
        <v>1371.458</v>
      </c>
      <c r="Y315" s="14">
        <f t="shared" si="6"/>
        <v>-0.577</v>
      </c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</row>
    <row r="316">
      <c r="A316" s="7"/>
      <c r="B316" s="7"/>
      <c r="C316" s="7"/>
      <c r="D316" s="7"/>
      <c r="E316" s="7"/>
      <c r="F316" s="7" t="s">
        <v>22</v>
      </c>
      <c r="G316" s="8">
        <v>1505.0</v>
      </c>
      <c r="H316" s="9">
        <v>39.1732272222</v>
      </c>
      <c r="I316" s="9">
        <v>-112.870415556</v>
      </c>
      <c r="J316" s="10">
        <v>1375.61</v>
      </c>
      <c r="K316" s="11">
        <v>3311.827</v>
      </c>
      <c r="L316" s="11">
        <v>-13734.422</v>
      </c>
      <c r="M316" s="11">
        <v>-10.119</v>
      </c>
      <c r="N316" s="11">
        <v>3311.824</v>
      </c>
      <c r="O316" s="11">
        <v>-13734.411</v>
      </c>
      <c r="P316" s="11">
        <v>-15.079</v>
      </c>
      <c r="Q316" s="11">
        <v>1389.64</v>
      </c>
      <c r="R316" s="11">
        <v>-19.991</v>
      </c>
      <c r="S316" s="12">
        <v>0.89</v>
      </c>
      <c r="T316" s="13">
        <f t="shared" si="1"/>
        <v>1370.539</v>
      </c>
      <c r="U316" s="14">
        <f t="shared" si="2"/>
        <v>5.071</v>
      </c>
      <c r="V316" s="14">
        <f t="shared" si="3"/>
        <v>0.6528027972</v>
      </c>
      <c r="W316" s="15" t="str">
        <f t="shared" si="4"/>
        <v/>
      </c>
      <c r="X316" s="11">
        <f t="shared" si="5"/>
        <v>1371.058</v>
      </c>
      <c r="Y316" s="14">
        <f t="shared" si="6"/>
        <v>-0.519</v>
      </c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</row>
    <row r="317">
      <c r="A317" s="7"/>
      <c r="B317" s="7"/>
      <c r="C317" s="7"/>
      <c r="D317" s="7"/>
      <c r="E317" s="7"/>
      <c r="F317" s="7" t="s">
        <v>22</v>
      </c>
      <c r="G317" s="8">
        <v>1506.0</v>
      </c>
      <c r="H317" s="9">
        <v>39.1840444444</v>
      </c>
      <c r="I317" s="9">
        <v>-112.870615833</v>
      </c>
      <c r="J317" s="10">
        <v>1375.08</v>
      </c>
      <c r="K317" s="11">
        <v>3294.035</v>
      </c>
      <c r="L317" s="11">
        <v>-12533.28</v>
      </c>
      <c r="M317" s="11">
        <v>-8.16</v>
      </c>
      <c r="N317" s="11">
        <v>3294.032</v>
      </c>
      <c r="O317" s="11">
        <v>-12533.269</v>
      </c>
      <c r="P317" s="11">
        <v>-13.46</v>
      </c>
      <c r="Q317" s="11">
        <v>1388.76</v>
      </c>
      <c r="R317" s="11">
        <v>-19.982</v>
      </c>
      <c r="S317" s="12">
        <v>0.89</v>
      </c>
      <c r="T317" s="13">
        <f t="shared" si="1"/>
        <v>1369.668</v>
      </c>
      <c r="U317" s="14">
        <f t="shared" si="2"/>
        <v>5.412</v>
      </c>
      <c r="V317" s="14">
        <f t="shared" si="3"/>
        <v>1.081715618</v>
      </c>
      <c r="W317" s="15" t="str">
        <f t="shared" si="4"/>
        <v/>
      </c>
      <c r="X317" s="11">
        <f t="shared" si="5"/>
        <v>1370.528</v>
      </c>
      <c r="Y317" s="14">
        <f t="shared" si="6"/>
        <v>-0.86</v>
      </c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</row>
    <row r="318">
      <c r="A318" s="7"/>
      <c r="B318" s="7"/>
      <c r="C318" s="7"/>
      <c r="D318" s="7"/>
      <c r="E318" s="7"/>
      <c r="F318" s="7" t="s">
        <v>22</v>
      </c>
      <c r="G318" s="8">
        <v>1507.0</v>
      </c>
      <c r="H318" s="9">
        <v>39.1948480556</v>
      </c>
      <c r="I318" s="9">
        <v>-112.870572222</v>
      </c>
      <c r="J318" s="10">
        <v>1375.28</v>
      </c>
      <c r="K318" s="11">
        <v>3297.333</v>
      </c>
      <c r="L318" s="11">
        <v>-11333.571</v>
      </c>
      <c r="M318" s="11">
        <v>-5.711</v>
      </c>
      <c r="N318" s="11">
        <v>3297.33</v>
      </c>
      <c r="O318" s="11">
        <v>-11333.562</v>
      </c>
      <c r="P318" s="11">
        <v>-10.981</v>
      </c>
      <c r="Q318" s="11">
        <v>1388.98</v>
      </c>
      <c r="R318" s="11">
        <v>-19.972</v>
      </c>
      <c r="S318" s="12">
        <v>0.89</v>
      </c>
      <c r="T318" s="13">
        <f t="shared" si="1"/>
        <v>1369.898</v>
      </c>
      <c r="U318" s="14">
        <f t="shared" si="2"/>
        <v>5.382</v>
      </c>
      <c r="V318" s="14">
        <f t="shared" si="3"/>
        <v>1.043981352</v>
      </c>
      <c r="W318" s="15" t="str">
        <f t="shared" si="4"/>
        <v/>
      </c>
      <c r="X318" s="11">
        <f t="shared" si="5"/>
        <v>1370.728</v>
      </c>
      <c r="Y318" s="14">
        <f t="shared" si="6"/>
        <v>-0.83</v>
      </c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</row>
    <row r="319">
      <c r="A319" s="7"/>
      <c r="B319" s="7"/>
      <c r="C319" s="7"/>
      <c r="D319" s="7"/>
      <c r="E319" s="7"/>
      <c r="F319" s="7" t="s">
        <v>22</v>
      </c>
      <c r="G319" s="8">
        <v>1508.0</v>
      </c>
      <c r="H319" s="9">
        <v>39.20575</v>
      </c>
      <c r="I319" s="9">
        <v>-112.870678056</v>
      </c>
      <c r="J319" s="10">
        <v>1375.45</v>
      </c>
      <c r="K319" s="11">
        <v>3287.665</v>
      </c>
      <c r="L319" s="11">
        <v>-10122.983</v>
      </c>
      <c r="M319" s="11">
        <v>-3.495</v>
      </c>
      <c r="N319" s="11">
        <v>3287.663</v>
      </c>
      <c r="O319" s="11">
        <v>-10122.974</v>
      </c>
      <c r="P319" s="11">
        <v>-8.865</v>
      </c>
      <c r="Q319" s="11">
        <v>1389.04</v>
      </c>
      <c r="R319" s="11">
        <v>-19.961</v>
      </c>
      <c r="S319" s="12">
        <v>0.89</v>
      </c>
      <c r="T319" s="13">
        <f t="shared" si="1"/>
        <v>1369.969</v>
      </c>
      <c r="U319" s="14">
        <f t="shared" si="2"/>
        <v>5.481</v>
      </c>
      <c r="V319" s="14">
        <f t="shared" si="3"/>
        <v>1.168504429</v>
      </c>
      <c r="W319" s="15" t="str">
        <f t="shared" si="4"/>
        <v/>
      </c>
      <c r="X319" s="11">
        <f t="shared" si="5"/>
        <v>1370.898</v>
      </c>
      <c r="Y319" s="14">
        <f t="shared" si="6"/>
        <v>-0.929</v>
      </c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</row>
    <row r="320">
      <c r="A320" s="7"/>
      <c r="B320" s="7"/>
      <c r="C320" s="7"/>
      <c r="D320" s="7"/>
      <c r="E320" s="7"/>
      <c r="F320" s="7" t="s">
        <v>22</v>
      </c>
      <c r="G320" s="8">
        <v>1509.0</v>
      </c>
      <c r="H320" s="9">
        <v>39.2160875</v>
      </c>
      <c r="I320" s="9">
        <v>-112.87017</v>
      </c>
      <c r="J320" s="10">
        <v>1375.27</v>
      </c>
      <c r="K320" s="11">
        <v>3331.065</v>
      </c>
      <c r="L320" s="11">
        <v>-8974.997</v>
      </c>
      <c r="M320" s="11">
        <v>-1.975</v>
      </c>
      <c r="N320" s="11">
        <v>3331.062</v>
      </c>
      <c r="O320" s="11">
        <v>-8974.991</v>
      </c>
      <c r="P320" s="11">
        <v>-6.695</v>
      </c>
      <c r="Q320" s="11">
        <v>1389.5</v>
      </c>
      <c r="R320" s="11">
        <v>-19.951</v>
      </c>
      <c r="S320" s="12">
        <v>0.89</v>
      </c>
      <c r="T320" s="13">
        <f t="shared" si="1"/>
        <v>1370.439</v>
      </c>
      <c r="U320" s="14">
        <f t="shared" si="2"/>
        <v>4.831</v>
      </c>
      <c r="V320" s="14">
        <f t="shared" si="3"/>
        <v>0.3509286713</v>
      </c>
      <c r="W320" s="15" t="str">
        <f t="shared" si="4"/>
        <v/>
      </c>
      <c r="X320" s="11">
        <f t="shared" si="5"/>
        <v>1370.718</v>
      </c>
      <c r="Y320" s="14">
        <f t="shared" si="6"/>
        <v>-0.279</v>
      </c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</row>
    <row r="321">
      <c r="A321" s="7"/>
      <c r="B321" s="7"/>
      <c r="C321" s="7"/>
      <c r="D321" s="7"/>
      <c r="E321" s="7"/>
      <c r="F321" s="7" t="s">
        <v>22</v>
      </c>
      <c r="G321" s="8">
        <v>1510.0</v>
      </c>
      <c r="H321" s="9">
        <v>39.2272419444</v>
      </c>
      <c r="I321" s="9">
        <v>-112.870522222</v>
      </c>
      <c r="J321" s="10">
        <v>1374.37</v>
      </c>
      <c r="K321" s="11">
        <v>3300.136</v>
      </c>
      <c r="L321" s="11">
        <v>-7736.429</v>
      </c>
      <c r="M321" s="11">
        <v>-1.232</v>
      </c>
      <c r="N321" s="11">
        <v>3300.133</v>
      </c>
      <c r="O321" s="11">
        <v>-7736.423</v>
      </c>
      <c r="P321" s="11">
        <v>-6.382</v>
      </c>
      <c r="Q321" s="11">
        <v>1388.16</v>
      </c>
      <c r="R321" s="11">
        <v>-19.94</v>
      </c>
      <c r="S321" s="12">
        <v>0.89</v>
      </c>
      <c r="T321" s="13">
        <f t="shared" si="1"/>
        <v>1369.11</v>
      </c>
      <c r="U321" s="14">
        <f t="shared" si="2"/>
        <v>5.26</v>
      </c>
      <c r="V321" s="14">
        <f t="shared" si="3"/>
        <v>0.8905286713</v>
      </c>
      <c r="W321" s="15" t="str">
        <f t="shared" si="4"/>
        <v/>
      </c>
      <c r="X321" s="11">
        <f t="shared" si="5"/>
        <v>1369.818</v>
      </c>
      <c r="Y321" s="14">
        <f t="shared" si="6"/>
        <v>-0.708</v>
      </c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</row>
    <row r="322">
      <c r="A322" s="7"/>
      <c r="B322" s="7"/>
      <c r="C322" s="7"/>
      <c r="D322" s="7"/>
      <c r="E322" s="7"/>
      <c r="F322" s="7" t="s">
        <v>22</v>
      </c>
      <c r="G322" s="8">
        <v>1511.0</v>
      </c>
      <c r="H322" s="9">
        <v>39.2380425</v>
      </c>
      <c r="I322" s="9">
        <v>-112.8704575</v>
      </c>
      <c r="J322" s="10">
        <v>1375.6</v>
      </c>
      <c r="K322" s="11">
        <v>3305.157</v>
      </c>
      <c r="L322" s="11">
        <v>-6537.043</v>
      </c>
      <c r="M322" s="11">
        <v>1.341</v>
      </c>
      <c r="N322" s="11">
        <v>3305.155</v>
      </c>
      <c r="O322" s="11">
        <v>-6537.038</v>
      </c>
      <c r="P322" s="11">
        <v>-3.969</v>
      </c>
      <c r="Q322" s="11">
        <v>1389.22</v>
      </c>
      <c r="R322" s="11">
        <v>-19.931</v>
      </c>
      <c r="S322" s="12">
        <v>0.89</v>
      </c>
      <c r="T322" s="13">
        <f t="shared" si="1"/>
        <v>1370.179</v>
      </c>
      <c r="U322" s="14">
        <f t="shared" si="2"/>
        <v>5.421</v>
      </c>
      <c r="V322" s="14">
        <f t="shared" si="3"/>
        <v>1.093035897</v>
      </c>
      <c r="W322" s="15" t="str">
        <f t="shared" si="4"/>
        <v/>
      </c>
      <c r="X322" s="11">
        <f t="shared" si="5"/>
        <v>1371.048</v>
      </c>
      <c r="Y322" s="14">
        <f t="shared" si="6"/>
        <v>-0.869</v>
      </c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</row>
    <row r="323">
      <c r="A323" s="7"/>
      <c r="B323" s="7"/>
      <c r="C323" s="7"/>
      <c r="D323" s="7"/>
      <c r="E323" s="7"/>
      <c r="F323" s="7" t="s">
        <v>22</v>
      </c>
      <c r="G323" s="8">
        <v>1512.0</v>
      </c>
      <c r="H323" s="9">
        <v>39.2488863889</v>
      </c>
      <c r="I323" s="9">
        <v>-112.870432778</v>
      </c>
      <c r="J323" s="10">
        <v>1374.47</v>
      </c>
      <c r="K323" s="11">
        <v>3306.807</v>
      </c>
      <c r="L323" s="11">
        <v>-5332.991</v>
      </c>
      <c r="M323" s="11">
        <v>1.333</v>
      </c>
      <c r="N323" s="11">
        <v>3306.804</v>
      </c>
      <c r="O323" s="11">
        <v>-5332.986</v>
      </c>
      <c r="P323" s="11">
        <v>-3.537</v>
      </c>
      <c r="Q323" s="11">
        <v>1388.52</v>
      </c>
      <c r="R323" s="11">
        <v>-19.922</v>
      </c>
      <c r="S323" s="12">
        <v>0.89</v>
      </c>
      <c r="T323" s="13">
        <f t="shared" si="1"/>
        <v>1369.488</v>
      </c>
      <c r="U323" s="14">
        <f t="shared" si="2"/>
        <v>4.982</v>
      </c>
      <c r="V323" s="14">
        <f t="shared" si="3"/>
        <v>0.5408578089</v>
      </c>
      <c r="W323" s="15" t="str">
        <f t="shared" si="4"/>
        <v/>
      </c>
      <c r="X323" s="11">
        <f t="shared" si="5"/>
        <v>1369.918</v>
      </c>
      <c r="Y323" s="14">
        <f t="shared" si="6"/>
        <v>-0.43</v>
      </c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</row>
    <row r="324">
      <c r="A324" s="7"/>
      <c r="B324" s="7"/>
      <c r="C324" s="7"/>
      <c r="D324" s="7"/>
      <c r="E324" s="7"/>
      <c r="F324" s="7" t="s">
        <v>22</v>
      </c>
      <c r="G324" s="8">
        <v>1513.0</v>
      </c>
      <c r="H324" s="9">
        <v>39.2599530556</v>
      </c>
      <c r="I324" s="9">
        <v>-112.871168333</v>
      </c>
      <c r="J324" s="10">
        <v>1373.54</v>
      </c>
      <c r="K324" s="11">
        <v>3242.836</v>
      </c>
      <c r="L324" s="11">
        <v>-4104.089</v>
      </c>
      <c r="M324" s="11">
        <v>1.347</v>
      </c>
      <c r="N324" s="11">
        <v>3242.834</v>
      </c>
      <c r="O324" s="11">
        <v>-4104.086</v>
      </c>
      <c r="P324" s="11">
        <v>-3.123</v>
      </c>
      <c r="Q324" s="11">
        <v>1387.98</v>
      </c>
      <c r="R324" s="11">
        <v>-19.915</v>
      </c>
      <c r="S324" s="12">
        <v>0.89</v>
      </c>
      <c r="T324" s="13">
        <f t="shared" si="1"/>
        <v>1368.955</v>
      </c>
      <c r="U324" s="14">
        <f t="shared" si="2"/>
        <v>4.585</v>
      </c>
      <c r="V324" s="14">
        <f t="shared" si="3"/>
        <v>0.04150769231</v>
      </c>
      <c r="W324" s="15" t="str">
        <f t="shared" si="4"/>
        <v/>
      </c>
      <c r="X324" s="11">
        <f t="shared" si="5"/>
        <v>1368.988</v>
      </c>
      <c r="Y324" s="14">
        <f t="shared" si="6"/>
        <v>-0.033</v>
      </c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</row>
    <row r="325">
      <c r="A325" s="7"/>
      <c r="B325" s="7"/>
      <c r="C325" s="7"/>
      <c r="D325" s="7"/>
      <c r="E325" s="7"/>
      <c r="F325" s="7" t="s">
        <v>22</v>
      </c>
      <c r="G325" s="8">
        <v>1514.0</v>
      </c>
      <c r="H325" s="9">
        <v>39.270525</v>
      </c>
      <c r="I325" s="9">
        <v>-112.870425833</v>
      </c>
      <c r="J325" s="10">
        <v>1373.74</v>
      </c>
      <c r="K325" s="11">
        <v>3306.394</v>
      </c>
      <c r="L325" s="11">
        <v>-2930.1</v>
      </c>
      <c r="M325" s="11">
        <v>2.164</v>
      </c>
      <c r="N325" s="11">
        <v>3306.391</v>
      </c>
      <c r="O325" s="11">
        <v>-2930.098</v>
      </c>
      <c r="P325" s="11">
        <v>-2.616</v>
      </c>
      <c r="Q325" s="11">
        <v>1387.87</v>
      </c>
      <c r="R325" s="11">
        <v>-19.908</v>
      </c>
      <c r="S325" s="12">
        <v>0.89</v>
      </c>
      <c r="T325" s="13">
        <f t="shared" si="1"/>
        <v>1368.852</v>
      </c>
      <c r="U325" s="14">
        <f t="shared" si="2"/>
        <v>4.888</v>
      </c>
      <c r="V325" s="14">
        <f t="shared" si="3"/>
        <v>0.4226237762</v>
      </c>
      <c r="W325" s="15" t="str">
        <f t="shared" si="4"/>
        <v/>
      </c>
      <c r="X325" s="11">
        <f t="shared" si="5"/>
        <v>1369.188</v>
      </c>
      <c r="Y325" s="14">
        <f t="shared" si="6"/>
        <v>-0.336</v>
      </c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</row>
    <row r="326">
      <c r="A326" s="7"/>
      <c r="B326" s="7"/>
      <c r="C326" s="7"/>
      <c r="D326" s="7"/>
      <c r="E326" s="7"/>
      <c r="F326" s="7" t="s">
        <v>22</v>
      </c>
      <c r="G326" s="8">
        <v>1515.0</v>
      </c>
      <c r="H326" s="9">
        <v>39.2813258333</v>
      </c>
      <c r="I326" s="9">
        <v>-112.8701725</v>
      </c>
      <c r="J326" s="10">
        <v>1374.26</v>
      </c>
      <c r="K326" s="11">
        <v>3327.721</v>
      </c>
      <c r="L326" s="11">
        <v>-1730.697</v>
      </c>
      <c r="M326" s="11">
        <v>3.112</v>
      </c>
      <c r="N326" s="11">
        <v>3327.719</v>
      </c>
      <c r="O326" s="11">
        <v>-1730.696</v>
      </c>
      <c r="P326" s="11">
        <v>-0.448</v>
      </c>
      <c r="Q326" s="11">
        <v>1389.6</v>
      </c>
      <c r="R326" s="11">
        <v>-19.9</v>
      </c>
      <c r="S326" s="12">
        <v>0.89</v>
      </c>
      <c r="T326" s="13">
        <f t="shared" si="1"/>
        <v>1370.59</v>
      </c>
      <c r="U326" s="14">
        <f t="shared" si="2"/>
        <v>3.67</v>
      </c>
      <c r="V326" s="14">
        <f t="shared" si="3"/>
        <v>-1.109387413</v>
      </c>
      <c r="W326" s="15" t="str">
        <f t="shared" si="4"/>
        <v/>
      </c>
      <c r="X326" s="11">
        <f t="shared" si="5"/>
        <v>1369.708</v>
      </c>
      <c r="Y326" s="14">
        <f t="shared" si="6"/>
        <v>0.882</v>
      </c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</row>
    <row r="327">
      <c r="A327" s="7"/>
      <c r="B327" s="7"/>
      <c r="C327" s="7"/>
      <c r="D327" s="7"/>
      <c r="E327" s="7"/>
      <c r="F327" s="7" t="s">
        <v>22</v>
      </c>
      <c r="G327" s="8">
        <v>1516.0</v>
      </c>
      <c r="H327" s="9">
        <v>39.2921697222</v>
      </c>
      <c r="I327" s="9">
        <v>-112.870321111</v>
      </c>
      <c r="J327" s="10">
        <v>1374.62</v>
      </c>
      <c r="K327" s="11">
        <v>3314.437</v>
      </c>
      <c r="L327" s="11">
        <v>-526.531</v>
      </c>
      <c r="M327" s="11">
        <v>3.692</v>
      </c>
      <c r="N327" s="11">
        <v>3314.435</v>
      </c>
      <c r="O327" s="11">
        <v>-526.531</v>
      </c>
      <c r="P327" s="11">
        <v>-1.268</v>
      </c>
      <c r="Q327" s="11">
        <v>1388.55</v>
      </c>
      <c r="R327" s="11">
        <v>-19.893</v>
      </c>
      <c r="S327" s="12">
        <v>0.89</v>
      </c>
      <c r="T327" s="13">
        <f t="shared" si="1"/>
        <v>1369.547</v>
      </c>
      <c r="U327" s="14">
        <f t="shared" si="2"/>
        <v>5.073</v>
      </c>
      <c r="V327" s="14">
        <f t="shared" si="3"/>
        <v>0.6553184149</v>
      </c>
      <c r="W327" s="15" t="str">
        <f t="shared" si="4"/>
        <v/>
      </c>
      <c r="X327" s="11">
        <f t="shared" si="5"/>
        <v>1370.068</v>
      </c>
      <c r="Y327" s="14">
        <f t="shared" si="6"/>
        <v>-0.521</v>
      </c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</row>
    <row r="328">
      <c r="A328" s="7"/>
      <c r="B328" s="7"/>
      <c r="C328" s="7"/>
      <c r="D328" s="7"/>
      <c r="E328" s="7"/>
      <c r="F328" s="7" t="s">
        <v>22</v>
      </c>
      <c r="G328" s="8">
        <v>1517.0</v>
      </c>
      <c r="H328" s="9">
        <v>39.3030525</v>
      </c>
      <c r="I328" s="9">
        <v>-112.870245833</v>
      </c>
      <c r="J328" s="10">
        <v>1373.7</v>
      </c>
      <c r="K328" s="11">
        <v>3320.394</v>
      </c>
      <c r="L328" s="11">
        <v>681.976</v>
      </c>
      <c r="M328" s="11">
        <v>2.755</v>
      </c>
      <c r="N328" s="11">
        <v>3320.392</v>
      </c>
      <c r="O328" s="11">
        <v>681.975</v>
      </c>
      <c r="P328" s="11">
        <v>-1.825</v>
      </c>
      <c r="Q328" s="11">
        <v>1388.0</v>
      </c>
      <c r="R328" s="11">
        <v>-19.885</v>
      </c>
      <c r="S328" s="12">
        <v>0.89</v>
      </c>
      <c r="T328" s="13">
        <f t="shared" si="1"/>
        <v>1369.005</v>
      </c>
      <c r="U328" s="14">
        <f t="shared" si="2"/>
        <v>4.695</v>
      </c>
      <c r="V328" s="14">
        <f t="shared" si="3"/>
        <v>0.1798666667</v>
      </c>
      <c r="W328" s="15" t="str">
        <f t="shared" si="4"/>
        <v/>
      </c>
      <c r="X328" s="11">
        <f t="shared" si="5"/>
        <v>1369.148</v>
      </c>
      <c r="Y328" s="14">
        <f t="shared" si="6"/>
        <v>-0.143</v>
      </c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</row>
    <row r="329">
      <c r="A329" s="7"/>
      <c r="B329" s="7"/>
      <c r="C329" s="7"/>
      <c r="D329" s="7"/>
      <c r="E329" s="7"/>
      <c r="F329" s="7" t="s">
        <v>22</v>
      </c>
      <c r="G329" s="8">
        <v>1518.0</v>
      </c>
      <c r="H329" s="9">
        <v>39.3137863889</v>
      </c>
      <c r="I329" s="9">
        <v>-112.870226667</v>
      </c>
      <c r="J329" s="10">
        <v>1374.0</v>
      </c>
      <c r="K329" s="11">
        <v>3321.526</v>
      </c>
      <c r="L329" s="11">
        <v>1873.826</v>
      </c>
      <c r="M329" s="11">
        <v>2.815</v>
      </c>
      <c r="N329" s="11">
        <v>3321.524</v>
      </c>
      <c r="O329" s="11">
        <v>1873.825</v>
      </c>
      <c r="P329" s="11">
        <v>-1.865</v>
      </c>
      <c r="Q329" s="11">
        <v>1388.2</v>
      </c>
      <c r="R329" s="11">
        <v>-19.877</v>
      </c>
      <c r="S329" s="12">
        <v>0.89</v>
      </c>
      <c r="T329" s="13">
        <f t="shared" si="1"/>
        <v>1369.213</v>
      </c>
      <c r="U329" s="14">
        <f t="shared" si="2"/>
        <v>4.787</v>
      </c>
      <c r="V329" s="14">
        <f t="shared" si="3"/>
        <v>0.2955850816</v>
      </c>
      <c r="W329" s="15" t="str">
        <f t="shared" si="4"/>
        <v/>
      </c>
      <c r="X329" s="11">
        <f t="shared" si="5"/>
        <v>1369.448</v>
      </c>
      <c r="Y329" s="14">
        <f t="shared" si="6"/>
        <v>-0.235</v>
      </c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</row>
    <row r="330">
      <c r="A330" s="7"/>
      <c r="B330" s="7"/>
      <c r="C330" s="7"/>
      <c r="D330" s="7"/>
      <c r="E330" s="7"/>
      <c r="F330" s="7" t="s">
        <v>22</v>
      </c>
      <c r="G330" s="8">
        <v>1519.0</v>
      </c>
      <c r="H330" s="9">
        <v>39.3245427778</v>
      </c>
      <c r="I330" s="9">
        <v>-112.873423889</v>
      </c>
      <c r="J330" s="10">
        <v>1373.76</v>
      </c>
      <c r="K330" s="11">
        <v>3045.283</v>
      </c>
      <c r="L330" s="11">
        <v>3068.23</v>
      </c>
      <c r="M330" s="11">
        <v>2.248</v>
      </c>
      <c r="N330" s="11">
        <v>3045.281</v>
      </c>
      <c r="O330" s="11">
        <v>3068.228</v>
      </c>
      <c r="P330" s="11">
        <v>-2.512</v>
      </c>
      <c r="Q330" s="11">
        <v>1387.87</v>
      </c>
      <c r="R330" s="11">
        <v>-19.868</v>
      </c>
      <c r="S330" s="12">
        <v>0.89</v>
      </c>
      <c r="T330" s="13">
        <f t="shared" si="1"/>
        <v>1368.892</v>
      </c>
      <c r="U330" s="14">
        <f t="shared" si="2"/>
        <v>4.868</v>
      </c>
      <c r="V330" s="14">
        <f t="shared" si="3"/>
        <v>0.3974675991</v>
      </c>
      <c r="W330" s="15" t="str">
        <f t="shared" si="4"/>
        <v/>
      </c>
      <c r="X330" s="11">
        <f t="shared" si="5"/>
        <v>1369.208</v>
      </c>
      <c r="Y330" s="14">
        <f t="shared" si="6"/>
        <v>-0.316</v>
      </c>
      <c r="Z330" s="25"/>
      <c r="AA330" s="21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</row>
    <row r="331">
      <c r="A331" s="7"/>
      <c r="B331" s="7"/>
      <c r="C331" s="7"/>
      <c r="D331" s="7"/>
      <c r="E331" s="7"/>
      <c r="F331" s="7" t="s">
        <v>22</v>
      </c>
      <c r="G331" s="8">
        <v>1520.0</v>
      </c>
      <c r="H331" s="9">
        <v>39.3353916667</v>
      </c>
      <c r="I331" s="9">
        <v>-112.870173333</v>
      </c>
      <c r="J331" s="10">
        <v>1374.1</v>
      </c>
      <c r="K331" s="11">
        <v>3325.161</v>
      </c>
      <c r="L331" s="11">
        <v>4273.08</v>
      </c>
      <c r="M331" s="11">
        <v>1.754</v>
      </c>
      <c r="N331" s="11">
        <v>3325.159</v>
      </c>
      <c r="O331" s="11">
        <v>4273.077</v>
      </c>
      <c r="P331" s="11">
        <v>-2.526</v>
      </c>
      <c r="Q331" s="11">
        <v>1388.67</v>
      </c>
      <c r="R331" s="11">
        <v>-19.854</v>
      </c>
      <c r="S331" s="12">
        <v>0.89</v>
      </c>
      <c r="T331" s="13">
        <f t="shared" si="1"/>
        <v>1369.706</v>
      </c>
      <c r="U331" s="14">
        <f t="shared" si="2"/>
        <v>4.394</v>
      </c>
      <c r="V331" s="14">
        <f t="shared" si="3"/>
        <v>-0.1987337995</v>
      </c>
      <c r="W331" s="15" t="str">
        <f t="shared" si="4"/>
        <v/>
      </c>
      <c r="X331" s="11">
        <f t="shared" si="5"/>
        <v>1369.548</v>
      </c>
      <c r="Y331" s="14">
        <f t="shared" si="6"/>
        <v>0.158</v>
      </c>
      <c r="Z331" s="25"/>
      <c r="AA331" s="21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</row>
    <row r="332">
      <c r="A332" s="7"/>
      <c r="B332" s="7"/>
      <c r="C332" s="7"/>
      <c r="D332" s="7"/>
      <c r="E332" s="7"/>
      <c r="F332" s="7" t="s">
        <v>22</v>
      </c>
      <c r="G332" s="8">
        <v>1521.0</v>
      </c>
      <c r="H332" s="9">
        <v>39.3460327778</v>
      </c>
      <c r="I332" s="9">
        <v>-112.870277778</v>
      </c>
      <c r="J332" s="10">
        <v>1374.06</v>
      </c>
      <c r="K332" s="11">
        <v>3315.604</v>
      </c>
      <c r="L332" s="11">
        <v>5454.716</v>
      </c>
      <c r="M332" s="11">
        <v>0.815</v>
      </c>
      <c r="N332" s="11">
        <v>3315.602</v>
      </c>
      <c r="O332" s="11">
        <v>5454.713</v>
      </c>
      <c r="P332" s="11">
        <v>-2.615</v>
      </c>
      <c r="Q332" s="11">
        <v>1389.47</v>
      </c>
      <c r="R332" s="11">
        <v>-19.838</v>
      </c>
      <c r="S332" s="12">
        <v>0.89</v>
      </c>
      <c r="T332" s="13">
        <f t="shared" si="1"/>
        <v>1370.522</v>
      </c>
      <c r="U332" s="14">
        <f t="shared" si="2"/>
        <v>3.538</v>
      </c>
      <c r="V332" s="14">
        <f t="shared" si="3"/>
        <v>-1.275418182</v>
      </c>
      <c r="W332" s="15" t="str">
        <f t="shared" si="4"/>
        <v/>
      </c>
      <c r="X332" s="11">
        <f t="shared" si="5"/>
        <v>1369.508</v>
      </c>
      <c r="Y332" s="14">
        <f t="shared" si="6"/>
        <v>1.014</v>
      </c>
      <c r="Z332" s="25"/>
      <c r="AA332" s="21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</row>
    <row r="333">
      <c r="A333" s="7"/>
      <c r="B333" s="7"/>
      <c r="C333" s="7"/>
      <c r="D333" s="7"/>
      <c r="E333" s="7"/>
      <c r="F333" s="7" t="s">
        <v>22</v>
      </c>
      <c r="G333" s="8">
        <v>1522.0</v>
      </c>
      <c r="H333" s="9">
        <v>39.3569927778</v>
      </c>
      <c r="I333" s="9">
        <v>-112.870073333</v>
      </c>
      <c r="J333" s="10">
        <v>1376.39</v>
      </c>
      <c r="K333" s="11">
        <v>3332.759</v>
      </c>
      <c r="L333" s="11">
        <v>6671.791</v>
      </c>
      <c r="M333" s="11">
        <v>1.977</v>
      </c>
      <c r="N333" s="11">
        <v>3332.757</v>
      </c>
      <c r="O333" s="11">
        <v>6671.788</v>
      </c>
      <c r="P333" s="11">
        <v>-1.733</v>
      </c>
      <c r="Q333" s="11">
        <v>1391.5</v>
      </c>
      <c r="R333" s="11">
        <v>-19.819</v>
      </c>
      <c r="S333" s="12">
        <v>0.89</v>
      </c>
      <c r="T333" s="13">
        <f t="shared" si="1"/>
        <v>1372.571</v>
      </c>
      <c r="U333" s="14">
        <f t="shared" si="2"/>
        <v>3.819</v>
      </c>
      <c r="V333" s="14">
        <f t="shared" si="3"/>
        <v>-0.9219738928</v>
      </c>
      <c r="W333" s="15" t="str">
        <f t="shared" si="4"/>
        <v/>
      </c>
      <c r="X333" s="11">
        <f t="shared" si="5"/>
        <v>1371.838</v>
      </c>
      <c r="Y333" s="14">
        <f t="shared" si="6"/>
        <v>0.733</v>
      </c>
      <c r="Z333" s="25"/>
      <c r="AA333" s="21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</row>
    <row r="334">
      <c r="A334" s="7"/>
      <c r="B334" s="7"/>
      <c r="C334" s="7"/>
      <c r="D334" s="7"/>
      <c r="E334" s="7"/>
      <c r="F334" s="7" t="s">
        <v>22</v>
      </c>
      <c r="G334" s="8">
        <v>1523.0</v>
      </c>
      <c r="H334" s="9">
        <v>39.3678616667</v>
      </c>
      <c r="I334" s="9">
        <v>-112.870182778</v>
      </c>
      <c r="J334" s="10">
        <v>1379.61</v>
      </c>
      <c r="K334" s="11">
        <v>3322.763</v>
      </c>
      <c r="L334" s="11">
        <v>7878.754</v>
      </c>
      <c r="M334" s="11">
        <v>3.822</v>
      </c>
      <c r="N334" s="11">
        <v>3322.761</v>
      </c>
      <c r="O334" s="11">
        <v>7878.749</v>
      </c>
      <c r="P334" s="11">
        <v>-0.618</v>
      </c>
      <c r="Q334" s="11">
        <v>1393.97</v>
      </c>
      <c r="R334" s="11">
        <v>-19.8</v>
      </c>
      <c r="S334" s="12">
        <v>0.89</v>
      </c>
      <c r="T334" s="13">
        <f t="shared" si="1"/>
        <v>1375.06</v>
      </c>
      <c r="U334" s="14">
        <f t="shared" si="2"/>
        <v>4.55</v>
      </c>
      <c r="V334" s="14">
        <f t="shared" si="3"/>
        <v>-0.002515617716</v>
      </c>
      <c r="W334" s="15" t="str">
        <f t="shared" si="4"/>
        <v/>
      </c>
      <c r="X334" s="11">
        <f t="shared" si="5"/>
        <v>1375.058</v>
      </c>
      <c r="Y334" s="14">
        <f t="shared" si="6"/>
        <v>0.002</v>
      </c>
      <c r="Z334" s="25"/>
      <c r="AA334" s="21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</row>
    <row r="335">
      <c r="A335" s="7"/>
      <c r="B335" s="7"/>
      <c r="C335" s="7"/>
      <c r="D335" s="7"/>
      <c r="E335" s="7"/>
      <c r="F335" s="7" t="s">
        <v>22</v>
      </c>
      <c r="G335" s="8">
        <v>1524.0</v>
      </c>
      <c r="H335" s="9">
        <v>39.3784783333</v>
      </c>
      <c r="I335" s="9">
        <v>-112.870364167</v>
      </c>
      <c r="J335" s="10">
        <v>1383.12</v>
      </c>
      <c r="K335" s="11">
        <v>3306.663</v>
      </c>
      <c r="L335" s="11">
        <v>9057.623</v>
      </c>
      <c r="M335" s="11">
        <v>5.771</v>
      </c>
      <c r="N335" s="11">
        <v>3306.661</v>
      </c>
      <c r="O335" s="11">
        <v>9057.617</v>
      </c>
      <c r="P335" s="11">
        <v>1.391</v>
      </c>
      <c r="Q335" s="11">
        <v>1397.52</v>
      </c>
      <c r="R335" s="11">
        <v>-19.778</v>
      </c>
      <c r="S335" s="12">
        <v>0.89</v>
      </c>
      <c r="T335" s="13">
        <f t="shared" si="1"/>
        <v>1378.632</v>
      </c>
      <c r="U335" s="14">
        <f t="shared" si="2"/>
        <v>4.488</v>
      </c>
      <c r="V335" s="14">
        <f t="shared" si="3"/>
        <v>-0.0804997669</v>
      </c>
      <c r="W335" s="15" t="str">
        <f t="shared" si="4"/>
        <v/>
      </c>
      <c r="X335" s="11">
        <f t="shared" si="5"/>
        <v>1378.568</v>
      </c>
      <c r="Y335" s="14">
        <f t="shared" si="6"/>
        <v>0.064</v>
      </c>
      <c r="Z335" s="25"/>
      <c r="AA335" s="21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</row>
    <row r="336">
      <c r="A336" s="7"/>
      <c r="B336" s="7"/>
      <c r="C336" s="7"/>
      <c r="D336" s="7"/>
      <c r="E336" s="7"/>
      <c r="F336" s="7" t="s">
        <v>22</v>
      </c>
      <c r="G336" s="8">
        <v>1525.0</v>
      </c>
      <c r="H336" s="9">
        <v>39.3895002778</v>
      </c>
      <c r="I336" s="9">
        <v>-112.870195</v>
      </c>
      <c r="J336" s="10">
        <v>1388.58</v>
      </c>
      <c r="K336" s="11">
        <v>3320.708</v>
      </c>
      <c r="L336" s="11">
        <v>10281.596</v>
      </c>
      <c r="M336" s="11">
        <v>9.363</v>
      </c>
      <c r="N336" s="11">
        <v>3320.706</v>
      </c>
      <c r="O336" s="11">
        <v>10281.589</v>
      </c>
      <c r="P336" s="11">
        <v>5.093</v>
      </c>
      <c r="Q336" s="11">
        <v>1403.06</v>
      </c>
      <c r="R336" s="11">
        <v>-19.754</v>
      </c>
      <c r="S336" s="12">
        <v>0.89</v>
      </c>
      <c r="T336" s="13">
        <f t="shared" si="1"/>
        <v>1384.196</v>
      </c>
      <c r="U336" s="14">
        <f t="shared" si="2"/>
        <v>4.384</v>
      </c>
      <c r="V336" s="14">
        <f t="shared" si="3"/>
        <v>-0.2113118881</v>
      </c>
      <c r="W336" s="15" t="str">
        <f t="shared" si="4"/>
        <v/>
      </c>
      <c r="X336" s="11">
        <f t="shared" si="5"/>
        <v>1384.028</v>
      </c>
      <c r="Y336" s="14">
        <f t="shared" si="6"/>
        <v>0.168</v>
      </c>
      <c r="Z336" s="25"/>
      <c r="AA336" s="21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</row>
    <row r="337">
      <c r="A337" s="7"/>
      <c r="B337" s="7"/>
      <c r="C337" s="7"/>
      <c r="D337" s="7"/>
      <c r="E337" s="7"/>
      <c r="F337" s="7" t="s">
        <v>22</v>
      </c>
      <c r="G337" s="8">
        <v>1526.0</v>
      </c>
      <c r="H337" s="9">
        <v>39.4002263889</v>
      </c>
      <c r="I337" s="9">
        <v>-112.870041944</v>
      </c>
      <c r="J337" s="10">
        <v>1398.18</v>
      </c>
      <c r="K337" s="11">
        <v>3333.386</v>
      </c>
      <c r="L337" s="11">
        <v>11472.71</v>
      </c>
      <c r="M337" s="11">
        <v>16.921</v>
      </c>
      <c r="N337" s="11">
        <v>3333.384</v>
      </c>
      <c r="O337" s="11">
        <v>11472.702</v>
      </c>
      <c r="P337" s="11">
        <v>12.411</v>
      </c>
      <c r="Q337" s="11">
        <v>1412.4</v>
      </c>
      <c r="R337" s="11">
        <v>-19.728</v>
      </c>
      <c r="S337" s="12">
        <v>0.89</v>
      </c>
      <c r="T337" s="13">
        <f t="shared" si="1"/>
        <v>1393.562</v>
      </c>
      <c r="U337" s="14">
        <f t="shared" si="2"/>
        <v>4.618</v>
      </c>
      <c r="V337" s="14">
        <f t="shared" si="3"/>
        <v>0.08301538462</v>
      </c>
      <c r="W337" s="15" t="str">
        <f t="shared" si="4"/>
        <v/>
      </c>
      <c r="X337" s="11">
        <f t="shared" si="5"/>
        <v>1393.628</v>
      </c>
      <c r="Y337" s="14">
        <f t="shared" si="6"/>
        <v>-0.066</v>
      </c>
      <c r="Z337" s="25"/>
      <c r="AA337" s="21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</row>
    <row r="338">
      <c r="A338" s="7"/>
      <c r="B338" s="7"/>
      <c r="C338" s="7"/>
      <c r="D338" s="7"/>
      <c r="E338" s="7"/>
      <c r="F338" s="7" t="s">
        <v>22</v>
      </c>
      <c r="G338" s="8">
        <v>1527.0</v>
      </c>
      <c r="H338" s="9">
        <v>39.4111480556</v>
      </c>
      <c r="I338" s="9">
        <v>-112.870116944</v>
      </c>
      <c r="J338" s="10">
        <v>1446.12</v>
      </c>
      <c r="K338" s="11">
        <v>3326.431</v>
      </c>
      <c r="L338" s="11">
        <v>12685.663</v>
      </c>
      <c r="M338" s="11">
        <v>62.562</v>
      </c>
      <c r="N338" s="11">
        <v>3326.429</v>
      </c>
      <c r="O338" s="11">
        <v>12685.654</v>
      </c>
      <c r="P338" s="11">
        <v>58.252</v>
      </c>
      <c r="Q338" s="11">
        <v>1460.51</v>
      </c>
      <c r="R338" s="11">
        <v>-19.7</v>
      </c>
      <c r="S338" s="12">
        <v>0.89</v>
      </c>
      <c r="T338" s="13">
        <f t="shared" si="1"/>
        <v>1441.7</v>
      </c>
      <c r="U338" s="14">
        <f t="shared" si="2"/>
        <v>4.42</v>
      </c>
      <c r="V338" s="14">
        <f t="shared" si="3"/>
        <v>-0.1660307692</v>
      </c>
      <c r="W338" s="15" t="str">
        <f t="shared" si="4"/>
        <v/>
      </c>
      <c r="X338" s="11">
        <f t="shared" si="5"/>
        <v>1441.568</v>
      </c>
      <c r="Y338" s="14">
        <f t="shared" si="6"/>
        <v>0.132</v>
      </c>
      <c r="Z338" s="25"/>
      <c r="AA338" s="21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</row>
    <row r="339">
      <c r="A339" s="7"/>
      <c r="B339" s="7"/>
      <c r="C339" s="7"/>
      <c r="D339" s="7"/>
      <c r="E339" s="7"/>
      <c r="F339" s="7" t="s">
        <v>22</v>
      </c>
      <c r="G339" s="8">
        <v>1528.0</v>
      </c>
      <c r="H339" s="9">
        <v>39.4218536111</v>
      </c>
      <c r="I339" s="9">
        <v>-112.870056111</v>
      </c>
      <c r="J339" s="10">
        <v>1453.22</v>
      </c>
      <c r="K339" s="11">
        <v>3331.18</v>
      </c>
      <c r="L339" s="11">
        <v>13874.565</v>
      </c>
      <c r="M339" s="11">
        <v>67.178</v>
      </c>
      <c r="N339" s="11">
        <v>3331.177</v>
      </c>
      <c r="O339" s="11">
        <v>13874.556</v>
      </c>
      <c r="P339" s="11">
        <v>62.968</v>
      </c>
      <c r="Q339" s="11">
        <v>1467.68</v>
      </c>
      <c r="R339" s="11">
        <v>-19.674</v>
      </c>
      <c r="S339" s="12">
        <v>0.89</v>
      </c>
      <c r="T339" s="13">
        <f t="shared" si="1"/>
        <v>1448.896</v>
      </c>
      <c r="U339" s="14">
        <f t="shared" si="2"/>
        <v>4.324</v>
      </c>
      <c r="V339" s="14">
        <f t="shared" si="3"/>
        <v>-0.2867804196</v>
      </c>
      <c r="W339" s="15" t="str">
        <f t="shared" si="4"/>
        <v/>
      </c>
      <c r="X339" s="11">
        <f t="shared" si="5"/>
        <v>1448.668</v>
      </c>
      <c r="Y339" s="14">
        <f t="shared" si="6"/>
        <v>0.228</v>
      </c>
      <c r="Z339" s="25"/>
      <c r="AA339" s="21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</row>
    <row r="340">
      <c r="A340" s="7"/>
      <c r="B340" s="7"/>
      <c r="C340" s="7"/>
      <c r="D340" s="7"/>
      <c r="E340" s="7"/>
      <c r="F340" s="7" t="s">
        <v>22</v>
      </c>
      <c r="G340" s="8">
        <v>1601.0</v>
      </c>
      <c r="H340" s="9">
        <v>39.129905</v>
      </c>
      <c r="I340" s="9">
        <v>-112.856868889</v>
      </c>
      <c r="J340" s="10">
        <v>1380.4</v>
      </c>
      <c r="K340" s="11">
        <v>4485.492</v>
      </c>
      <c r="L340" s="11">
        <v>-18544.414</v>
      </c>
      <c r="M340" s="11">
        <v>-18.247</v>
      </c>
      <c r="N340" s="11">
        <v>4485.488</v>
      </c>
      <c r="O340" s="11">
        <v>-18544.397</v>
      </c>
      <c r="P340" s="11">
        <v>-24.027</v>
      </c>
      <c r="Q340" s="11">
        <v>1393.62</v>
      </c>
      <c r="R340" s="11">
        <v>-19.998</v>
      </c>
      <c r="S340" s="12">
        <v>0.89</v>
      </c>
      <c r="T340" s="13">
        <f t="shared" si="1"/>
        <v>1374.512</v>
      </c>
      <c r="U340" s="14">
        <f t="shared" si="2"/>
        <v>5.888</v>
      </c>
      <c r="V340" s="14">
        <f t="shared" si="3"/>
        <v>1.680432634</v>
      </c>
      <c r="W340" s="15" t="str">
        <f t="shared" si="4"/>
        <v/>
      </c>
      <c r="X340" s="11">
        <f t="shared" si="5"/>
        <v>1375.848</v>
      </c>
      <c r="Y340" s="14">
        <f t="shared" si="6"/>
        <v>-1.336</v>
      </c>
      <c r="Z340" s="25"/>
      <c r="AA340" s="21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</row>
    <row r="341">
      <c r="A341" s="7"/>
      <c r="B341" s="7"/>
      <c r="C341" s="7"/>
      <c r="D341" s="7"/>
      <c r="E341" s="7"/>
      <c r="F341" s="7" t="s">
        <v>22</v>
      </c>
      <c r="G341" s="8">
        <v>1602.0</v>
      </c>
      <c r="H341" s="9">
        <v>39.1407463889</v>
      </c>
      <c r="I341" s="9">
        <v>-112.856831389</v>
      </c>
      <c r="J341" s="10">
        <v>1377.32</v>
      </c>
      <c r="K341" s="11">
        <v>4488.088</v>
      </c>
      <c r="L341" s="11">
        <v>-17340.601</v>
      </c>
      <c r="M341" s="11">
        <v>-17.934</v>
      </c>
      <c r="N341" s="11">
        <v>4488.085</v>
      </c>
      <c r="O341" s="11">
        <v>-17340.587</v>
      </c>
      <c r="P341" s="11">
        <v>-23.084</v>
      </c>
      <c r="Q341" s="11">
        <v>1391.17</v>
      </c>
      <c r="R341" s="11">
        <v>-19.997</v>
      </c>
      <c r="S341" s="12">
        <v>0.89</v>
      </c>
      <c r="T341" s="13">
        <f t="shared" si="1"/>
        <v>1372.063</v>
      </c>
      <c r="U341" s="14">
        <f t="shared" si="2"/>
        <v>5.257</v>
      </c>
      <c r="V341" s="14">
        <f t="shared" si="3"/>
        <v>0.8867552448</v>
      </c>
      <c r="W341" s="15" t="str">
        <f t="shared" si="4"/>
        <v/>
      </c>
      <c r="X341" s="11">
        <f t="shared" si="5"/>
        <v>1372.768</v>
      </c>
      <c r="Y341" s="14">
        <f t="shared" si="6"/>
        <v>-0.705</v>
      </c>
      <c r="Z341" s="25"/>
      <c r="AA341" s="21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</row>
    <row r="342">
      <c r="A342" s="7"/>
      <c r="B342" s="7"/>
      <c r="C342" s="7"/>
      <c r="D342" s="7"/>
      <c r="E342" s="7"/>
      <c r="F342" s="7" t="s">
        <v>22</v>
      </c>
      <c r="G342" s="8">
        <v>1603.0</v>
      </c>
      <c r="H342" s="9">
        <v>39.1515366667</v>
      </c>
      <c r="I342" s="9">
        <v>-112.856791111</v>
      </c>
      <c r="J342" s="10">
        <v>1374.91</v>
      </c>
      <c r="K342" s="11">
        <v>4490.86</v>
      </c>
      <c r="L342" s="11">
        <v>-16142.339</v>
      </c>
      <c r="M342" s="11">
        <v>-17.192</v>
      </c>
      <c r="N342" s="11">
        <v>4490.857</v>
      </c>
      <c r="O342" s="11">
        <v>-16142.328</v>
      </c>
      <c r="P342" s="11">
        <v>-21.622</v>
      </c>
      <c r="Q342" s="11">
        <v>1389.47</v>
      </c>
      <c r="R342" s="11">
        <v>-19.994</v>
      </c>
      <c r="S342" s="12">
        <v>0.89</v>
      </c>
      <c r="T342" s="13">
        <f t="shared" si="1"/>
        <v>1370.366</v>
      </c>
      <c r="U342" s="14">
        <f t="shared" si="2"/>
        <v>4.544</v>
      </c>
      <c r="V342" s="14">
        <f t="shared" si="3"/>
        <v>-0.01006247086</v>
      </c>
      <c r="W342" s="15" t="str">
        <f t="shared" si="4"/>
        <v/>
      </c>
      <c r="X342" s="11">
        <f t="shared" si="5"/>
        <v>1370.358</v>
      </c>
      <c r="Y342" s="14">
        <f t="shared" si="6"/>
        <v>0.008</v>
      </c>
      <c r="Z342" s="25"/>
      <c r="AA342" s="21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</row>
    <row r="343">
      <c r="A343" s="7"/>
      <c r="B343" s="7"/>
      <c r="C343" s="7"/>
      <c r="D343" s="7"/>
      <c r="E343" s="7"/>
      <c r="F343" s="7" t="s">
        <v>22</v>
      </c>
      <c r="G343" s="8">
        <v>1604.0</v>
      </c>
      <c r="H343" s="9">
        <v>39.1624141667</v>
      </c>
      <c r="I343" s="9">
        <v>-112.856749722</v>
      </c>
      <c r="J343" s="10">
        <v>1375.64</v>
      </c>
      <c r="K343" s="11">
        <v>4493.713</v>
      </c>
      <c r="L343" s="11">
        <v>-14934.534</v>
      </c>
      <c r="M343" s="11">
        <v>-13.515</v>
      </c>
      <c r="N343" s="11">
        <v>4493.71</v>
      </c>
      <c r="O343" s="11">
        <v>-14934.523</v>
      </c>
      <c r="P343" s="11">
        <v>-17.915</v>
      </c>
      <c r="Q343" s="11">
        <v>1390.23</v>
      </c>
      <c r="R343" s="11">
        <v>-19.987</v>
      </c>
      <c r="S343" s="12">
        <v>0.89</v>
      </c>
      <c r="T343" s="13">
        <f t="shared" si="1"/>
        <v>1371.133</v>
      </c>
      <c r="U343" s="14">
        <f t="shared" si="2"/>
        <v>4.507</v>
      </c>
      <c r="V343" s="14">
        <f t="shared" si="3"/>
        <v>-0.0566013986</v>
      </c>
      <c r="W343" s="15" t="str">
        <f t="shared" si="4"/>
        <v/>
      </c>
      <c r="X343" s="11">
        <f t="shared" si="5"/>
        <v>1371.088</v>
      </c>
      <c r="Y343" s="14">
        <f t="shared" si="6"/>
        <v>0.045</v>
      </c>
      <c r="Z343" s="25"/>
      <c r="AA343" s="21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</row>
    <row r="344">
      <c r="A344" s="7"/>
      <c r="B344" s="7"/>
      <c r="C344" s="7"/>
      <c r="D344" s="7"/>
      <c r="E344" s="7"/>
      <c r="F344" s="7" t="s">
        <v>22</v>
      </c>
      <c r="G344" s="8">
        <v>1605.0</v>
      </c>
      <c r="H344" s="9">
        <v>39.1731755556</v>
      </c>
      <c r="I344" s="9">
        <v>-112.856760833</v>
      </c>
      <c r="J344" s="10">
        <v>1373.7</v>
      </c>
      <c r="K344" s="11">
        <v>4492.076</v>
      </c>
      <c r="L344" s="11">
        <v>-13739.492</v>
      </c>
      <c r="M344" s="11">
        <v>-12.761</v>
      </c>
      <c r="N344" s="11">
        <v>4492.073</v>
      </c>
      <c r="O344" s="11">
        <v>-13739.482</v>
      </c>
      <c r="P344" s="11">
        <v>-17.531</v>
      </c>
      <c r="Q344" s="11">
        <v>1387.91</v>
      </c>
      <c r="R344" s="11">
        <v>-19.98</v>
      </c>
      <c r="S344" s="12">
        <v>0.89</v>
      </c>
      <c r="T344" s="13">
        <f t="shared" si="1"/>
        <v>1368.82</v>
      </c>
      <c r="U344" s="14">
        <f t="shared" si="2"/>
        <v>4.88</v>
      </c>
      <c r="V344" s="14">
        <f t="shared" si="3"/>
        <v>0.4125613054</v>
      </c>
      <c r="W344" s="15" t="str">
        <f t="shared" si="4"/>
        <v/>
      </c>
      <c r="X344" s="11">
        <f t="shared" si="5"/>
        <v>1369.148</v>
      </c>
      <c r="Y344" s="14">
        <f t="shared" si="6"/>
        <v>-0.328</v>
      </c>
      <c r="Z344" s="25"/>
      <c r="AA344" s="21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</row>
    <row r="345">
      <c r="A345" s="7"/>
      <c r="B345" s="7"/>
      <c r="C345" s="7"/>
      <c r="D345" s="7"/>
      <c r="E345" s="7"/>
      <c r="F345" s="7" t="s">
        <v>22</v>
      </c>
      <c r="G345" s="8">
        <v>1606.0</v>
      </c>
      <c r="H345" s="9">
        <v>39.1840022222</v>
      </c>
      <c r="I345" s="9">
        <v>-112.856712778</v>
      </c>
      <c r="J345" s="10">
        <v>1374.94</v>
      </c>
      <c r="K345" s="11">
        <v>4495.536</v>
      </c>
      <c r="L345" s="11">
        <v>-12537.345</v>
      </c>
      <c r="M345" s="11">
        <v>-9.041</v>
      </c>
      <c r="N345" s="11">
        <v>4495.533</v>
      </c>
      <c r="O345" s="11">
        <v>-12537.336</v>
      </c>
      <c r="P345" s="11">
        <v>-13.521</v>
      </c>
      <c r="Q345" s="11">
        <v>1389.43</v>
      </c>
      <c r="R345" s="11">
        <v>-19.971</v>
      </c>
      <c r="S345" s="12">
        <v>0.89</v>
      </c>
      <c r="T345" s="13">
        <f t="shared" si="1"/>
        <v>1370.349</v>
      </c>
      <c r="U345" s="14">
        <f t="shared" si="2"/>
        <v>4.591</v>
      </c>
      <c r="V345" s="14">
        <f t="shared" si="3"/>
        <v>0.04905454545</v>
      </c>
      <c r="W345" s="15" t="str">
        <f t="shared" si="4"/>
        <v/>
      </c>
      <c r="X345" s="11">
        <f t="shared" si="5"/>
        <v>1370.388</v>
      </c>
      <c r="Y345" s="14">
        <f t="shared" si="6"/>
        <v>-0.039</v>
      </c>
      <c r="Z345" s="25"/>
      <c r="AA345" s="21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</row>
    <row r="346">
      <c r="A346" s="7"/>
      <c r="B346" s="7"/>
      <c r="C346" s="7"/>
      <c r="D346" s="7"/>
      <c r="E346" s="7"/>
      <c r="F346" s="7" t="s">
        <v>22</v>
      </c>
      <c r="G346" s="8">
        <v>1607.0</v>
      </c>
      <c r="H346" s="9">
        <v>39.1947866667</v>
      </c>
      <c r="I346" s="9">
        <v>-112.856682222</v>
      </c>
      <c r="J346" s="10">
        <v>1375.77</v>
      </c>
      <c r="K346" s="11">
        <v>4497.529</v>
      </c>
      <c r="L346" s="11">
        <v>-11339.747</v>
      </c>
      <c r="M346" s="11">
        <v>-5.965</v>
      </c>
      <c r="N346" s="11">
        <v>4497.525</v>
      </c>
      <c r="O346" s="11">
        <v>-11339.739</v>
      </c>
      <c r="P346" s="11">
        <v>-10.715</v>
      </c>
      <c r="Q346" s="11">
        <v>1389.98</v>
      </c>
      <c r="R346" s="11">
        <v>-19.96</v>
      </c>
      <c r="S346" s="12">
        <v>0.89</v>
      </c>
      <c r="T346" s="13">
        <f t="shared" si="1"/>
        <v>1370.91</v>
      </c>
      <c r="U346" s="14">
        <f t="shared" si="2"/>
        <v>4.86</v>
      </c>
      <c r="V346" s="14">
        <f t="shared" si="3"/>
        <v>0.3874051282</v>
      </c>
      <c r="W346" s="15" t="str">
        <f t="shared" si="4"/>
        <v/>
      </c>
      <c r="X346" s="11">
        <f t="shared" si="5"/>
        <v>1371.218</v>
      </c>
      <c r="Y346" s="14">
        <f t="shared" si="6"/>
        <v>-0.308</v>
      </c>
      <c r="Z346" s="25"/>
      <c r="AA346" s="21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</row>
    <row r="347">
      <c r="A347" s="7"/>
      <c r="B347" s="7"/>
      <c r="C347" s="7"/>
      <c r="D347" s="7"/>
      <c r="E347" s="7"/>
      <c r="F347" s="7" t="s">
        <v>22</v>
      </c>
      <c r="G347" s="8">
        <v>1608.0</v>
      </c>
      <c r="H347" s="9">
        <v>39.2056336111</v>
      </c>
      <c r="I347" s="9">
        <v>-112.856703056</v>
      </c>
      <c r="J347" s="10">
        <v>1374.8</v>
      </c>
      <c r="K347" s="11">
        <v>4495.022</v>
      </c>
      <c r="L347" s="11">
        <v>-10135.262</v>
      </c>
      <c r="M347" s="11">
        <v>-4.9</v>
      </c>
      <c r="N347" s="11">
        <v>4495.019</v>
      </c>
      <c r="O347" s="11">
        <v>-10135.255</v>
      </c>
      <c r="P347" s="11">
        <v>-9.09</v>
      </c>
      <c r="Q347" s="11">
        <v>1389.56</v>
      </c>
      <c r="R347" s="11">
        <v>-19.95</v>
      </c>
      <c r="S347" s="12">
        <v>0.89</v>
      </c>
      <c r="T347" s="13">
        <f t="shared" si="1"/>
        <v>1370.5</v>
      </c>
      <c r="U347" s="14">
        <f t="shared" si="2"/>
        <v>4.3</v>
      </c>
      <c r="V347" s="14">
        <f t="shared" si="3"/>
        <v>-0.3169678322</v>
      </c>
      <c r="W347" s="15" t="str">
        <f t="shared" si="4"/>
        <v/>
      </c>
      <c r="X347" s="11">
        <f t="shared" si="5"/>
        <v>1370.248</v>
      </c>
      <c r="Y347" s="14">
        <f t="shared" si="6"/>
        <v>0.252</v>
      </c>
      <c r="Z347" s="25"/>
      <c r="AA347" s="21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</row>
    <row r="348">
      <c r="A348" s="7"/>
      <c r="B348" s="7"/>
      <c r="C348" s="7"/>
      <c r="D348" s="7"/>
      <c r="E348" s="7"/>
      <c r="F348" s="7" t="s">
        <v>22</v>
      </c>
      <c r="G348" s="8">
        <v>1609.0</v>
      </c>
      <c r="H348" s="9">
        <v>39.2163844444</v>
      </c>
      <c r="I348" s="9">
        <v>-112.856650556</v>
      </c>
      <c r="J348" s="10">
        <v>1374.4</v>
      </c>
      <c r="K348" s="11">
        <v>4498.828</v>
      </c>
      <c r="L348" s="11">
        <v>-8941.542</v>
      </c>
      <c r="M348" s="11">
        <v>-3.513</v>
      </c>
      <c r="N348" s="11">
        <v>4498.826</v>
      </c>
      <c r="O348" s="11">
        <v>-8941.537</v>
      </c>
      <c r="P348" s="11">
        <v>-7.383</v>
      </c>
      <c r="Q348" s="11">
        <v>1389.47</v>
      </c>
      <c r="R348" s="11">
        <v>-19.939</v>
      </c>
      <c r="S348" s="12">
        <v>0.89</v>
      </c>
      <c r="T348" s="13">
        <f t="shared" si="1"/>
        <v>1370.421</v>
      </c>
      <c r="U348" s="14">
        <f t="shared" si="2"/>
        <v>3.979</v>
      </c>
      <c r="V348" s="14">
        <f t="shared" si="3"/>
        <v>-0.7207244755</v>
      </c>
      <c r="W348" s="15" t="str">
        <f t="shared" si="4"/>
        <v/>
      </c>
      <c r="X348" s="11">
        <f t="shared" si="5"/>
        <v>1369.848</v>
      </c>
      <c r="Y348" s="14">
        <f t="shared" si="6"/>
        <v>0.573</v>
      </c>
      <c r="Z348" s="25"/>
      <c r="AA348" s="21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</row>
    <row r="349">
      <c r="A349" s="7"/>
      <c r="B349" s="7"/>
      <c r="C349" s="7"/>
      <c r="D349" s="7"/>
      <c r="E349" s="7"/>
      <c r="F349" s="7" t="s">
        <v>22</v>
      </c>
      <c r="G349" s="8">
        <v>1610.0</v>
      </c>
      <c r="H349" s="9">
        <v>39.2273141667</v>
      </c>
      <c r="I349" s="9">
        <v>-112.858361667</v>
      </c>
      <c r="J349" s="10">
        <v>1377.13</v>
      </c>
      <c r="K349" s="11">
        <v>4350.358</v>
      </c>
      <c r="L349" s="11">
        <v>-7727.923</v>
      </c>
      <c r="M349" s="11">
        <v>0.909</v>
      </c>
      <c r="N349" s="11">
        <v>4350.355</v>
      </c>
      <c r="O349" s="11">
        <v>-7727.917</v>
      </c>
      <c r="P349" s="11">
        <v>-3.871</v>
      </c>
      <c r="Q349" s="11">
        <v>1391.28</v>
      </c>
      <c r="R349" s="11">
        <v>-19.93</v>
      </c>
      <c r="S349" s="12">
        <v>0.89</v>
      </c>
      <c r="T349" s="13">
        <f t="shared" si="1"/>
        <v>1372.24</v>
      </c>
      <c r="U349" s="14">
        <f t="shared" si="2"/>
        <v>4.89</v>
      </c>
      <c r="V349" s="14">
        <f t="shared" si="3"/>
        <v>0.4251393939</v>
      </c>
      <c r="W349" s="15" t="str">
        <f t="shared" si="4"/>
        <v/>
      </c>
      <c r="X349" s="11">
        <f t="shared" si="5"/>
        <v>1372.578</v>
      </c>
      <c r="Y349" s="14">
        <f t="shared" si="6"/>
        <v>-0.338</v>
      </c>
      <c r="Z349" s="25"/>
      <c r="AA349" s="21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</row>
    <row r="350">
      <c r="A350" s="7"/>
      <c r="B350" s="7"/>
      <c r="C350" s="7"/>
      <c r="D350" s="7"/>
      <c r="E350" s="7"/>
      <c r="F350" s="7" t="s">
        <v>22</v>
      </c>
      <c r="G350" s="8">
        <v>1611.0</v>
      </c>
      <c r="H350" s="9">
        <v>39.2377675</v>
      </c>
      <c r="I350" s="9">
        <v>-112.856809444</v>
      </c>
      <c r="J350" s="10">
        <v>1375.6</v>
      </c>
      <c r="K350" s="11">
        <v>4483.82</v>
      </c>
      <c r="L350" s="11">
        <v>-6566.993</v>
      </c>
      <c r="M350" s="11">
        <v>0.591</v>
      </c>
      <c r="N350" s="11">
        <v>4483.818</v>
      </c>
      <c r="O350" s="11">
        <v>-6566.989</v>
      </c>
      <c r="P350" s="11">
        <v>-2.799</v>
      </c>
      <c r="Q350" s="11">
        <v>1391.13</v>
      </c>
      <c r="R350" s="11">
        <v>-19.921</v>
      </c>
      <c r="S350" s="12">
        <v>0.89</v>
      </c>
      <c r="T350" s="13">
        <f t="shared" si="1"/>
        <v>1372.099</v>
      </c>
      <c r="U350" s="14">
        <f t="shared" si="2"/>
        <v>3.501</v>
      </c>
      <c r="V350" s="14">
        <f t="shared" si="3"/>
        <v>-1.32195711</v>
      </c>
      <c r="W350" s="15" t="str">
        <f t="shared" si="4"/>
        <v/>
      </c>
      <c r="X350" s="11">
        <f t="shared" si="5"/>
        <v>1371.048</v>
      </c>
      <c r="Y350" s="14">
        <f t="shared" si="6"/>
        <v>1.051</v>
      </c>
      <c r="Z350" s="25"/>
      <c r="AA350" s="21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</row>
    <row r="351">
      <c r="A351" s="7"/>
      <c r="B351" s="7"/>
      <c r="C351" s="7"/>
      <c r="D351" s="7"/>
      <c r="E351" s="7"/>
      <c r="F351" s="7" t="s">
        <v>22</v>
      </c>
      <c r="G351" s="8">
        <v>1612.0</v>
      </c>
      <c r="H351" s="9">
        <v>39.2488511111</v>
      </c>
      <c r="I351" s="9">
        <v>-112.8565775</v>
      </c>
      <c r="J351" s="10">
        <v>1375.61</v>
      </c>
      <c r="K351" s="11">
        <v>4503.059</v>
      </c>
      <c r="L351" s="11">
        <v>-5336.28</v>
      </c>
      <c r="M351" s="11">
        <v>1.739</v>
      </c>
      <c r="N351" s="11">
        <v>4503.056</v>
      </c>
      <c r="O351" s="11">
        <v>-5336.276</v>
      </c>
      <c r="P351" s="11">
        <v>-3.331</v>
      </c>
      <c r="Q351" s="11">
        <v>1389.45</v>
      </c>
      <c r="R351" s="11">
        <v>-19.912</v>
      </c>
      <c r="S351" s="12">
        <v>0.89</v>
      </c>
      <c r="T351" s="13">
        <f t="shared" si="1"/>
        <v>1370.428</v>
      </c>
      <c r="U351" s="14">
        <f t="shared" si="2"/>
        <v>5.182</v>
      </c>
      <c r="V351" s="14">
        <f t="shared" si="3"/>
        <v>0.7924195804</v>
      </c>
      <c r="W351" s="15" t="str">
        <f t="shared" si="4"/>
        <v/>
      </c>
      <c r="X351" s="11">
        <f t="shared" si="5"/>
        <v>1371.058</v>
      </c>
      <c r="Y351" s="14">
        <f t="shared" si="6"/>
        <v>-0.63</v>
      </c>
      <c r="Z351" s="25"/>
      <c r="AA351" s="21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</row>
    <row r="352">
      <c r="A352" s="7"/>
      <c r="B352" s="7"/>
      <c r="C352" s="7"/>
      <c r="D352" s="7"/>
      <c r="E352" s="7"/>
      <c r="F352" s="7" t="s">
        <v>22</v>
      </c>
      <c r="G352" s="8">
        <v>1613.0</v>
      </c>
      <c r="H352" s="9">
        <v>39.2579797222</v>
      </c>
      <c r="I352" s="9">
        <v>-112.856547222</v>
      </c>
      <c r="J352" s="10">
        <v>1373.49</v>
      </c>
      <c r="K352" s="11">
        <v>4505.15</v>
      </c>
      <c r="L352" s="11">
        <v>-4322.554</v>
      </c>
      <c r="M352" s="11">
        <v>0.387</v>
      </c>
      <c r="N352" s="11">
        <v>4505.147</v>
      </c>
      <c r="O352" s="11">
        <v>-4322.551</v>
      </c>
      <c r="P352" s="11">
        <v>-4.143</v>
      </c>
      <c r="Q352" s="11">
        <v>1387.87</v>
      </c>
      <c r="R352" s="11">
        <v>-19.906</v>
      </c>
      <c r="S352" s="12">
        <v>0.89</v>
      </c>
      <c r="T352" s="13">
        <f t="shared" si="1"/>
        <v>1368.854</v>
      </c>
      <c r="U352" s="14">
        <f t="shared" si="2"/>
        <v>4.636</v>
      </c>
      <c r="V352" s="14">
        <f t="shared" si="3"/>
        <v>0.1056559441</v>
      </c>
      <c r="W352" s="15" t="str">
        <f t="shared" si="4"/>
        <v/>
      </c>
      <c r="X352" s="11">
        <f t="shared" si="5"/>
        <v>1368.938</v>
      </c>
      <c r="Y352" s="14">
        <f t="shared" si="6"/>
        <v>-0.084</v>
      </c>
      <c r="Z352" s="25"/>
      <c r="AA352" s="21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</row>
    <row r="353">
      <c r="A353" s="7"/>
      <c r="B353" s="7"/>
      <c r="C353" s="7"/>
      <c r="D353" s="7"/>
      <c r="E353" s="7"/>
      <c r="F353" s="7" t="s">
        <v>22</v>
      </c>
      <c r="G353" s="8">
        <v>1614.0</v>
      </c>
      <c r="H353" s="9">
        <v>39.2704977778</v>
      </c>
      <c r="I353" s="9">
        <v>-112.856535</v>
      </c>
      <c r="J353" s="10">
        <v>1374.5</v>
      </c>
      <c r="K353" s="11">
        <v>4505.385</v>
      </c>
      <c r="L353" s="11">
        <v>-2932.499</v>
      </c>
      <c r="M353" s="11">
        <v>2.189</v>
      </c>
      <c r="N353" s="11">
        <v>4505.382</v>
      </c>
      <c r="O353" s="11">
        <v>-2932.497</v>
      </c>
      <c r="P353" s="11">
        <v>-2.481</v>
      </c>
      <c r="Q353" s="11">
        <v>1388.73</v>
      </c>
      <c r="R353" s="11">
        <v>-19.898</v>
      </c>
      <c r="S353" s="12">
        <v>0.89</v>
      </c>
      <c r="T353" s="13">
        <f t="shared" si="1"/>
        <v>1369.722</v>
      </c>
      <c r="U353" s="14">
        <f t="shared" si="2"/>
        <v>4.778</v>
      </c>
      <c r="V353" s="14">
        <f t="shared" si="3"/>
        <v>0.2842648019</v>
      </c>
      <c r="W353" s="15" t="str">
        <f t="shared" si="4"/>
        <v/>
      </c>
      <c r="X353" s="11">
        <f t="shared" si="5"/>
        <v>1369.948</v>
      </c>
      <c r="Y353" s="14">
        <f t="shared" si="6"/>
        <v>-0.226</v>
      </c>
      <c r="Z353" s="25"/>
      <c r="AA353" s="21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</row>
    <row r="354">
      <c r="A354" s="7"/>
      <c r="B354" s="7"/>
      <c r="C354" s="7"/>
      <c r="D354" s="7"/>
      <c r="E354" s="7"/>
      <c r="F354" s="7" t="s">
        <v>22</v>
      </c>
      <c r="G354" s="8">
        <v>1615.0</v>
      </c>
      <c r="H354" s="9">
        <v>39.2813130556</v>
      </c>
      <c r="I354" s="9">
        <v>-112.856435833</v>
      </c>
      <c r="J354" s="10">
        <v>1373.07</v>
      </c>
      <c r="K354" s="11">
        <v>4513.235</v>
      </c>
      <c r="L354" s="11">
        <v>-1731.545</v>
      </c>
      <c r="M354" s="11">
        <v>1.194</v>
      </c>
      <c r="N354" s="11">
        <v>4513.233</v>
      </c>
      <c r="O354" s="11">
        <v>-1731.544</v>
      </c>
      <c r="P354" s="11">
        <v>-3.006</v>
      </c>
      <c r="Q354" s="11">
        <v>1387.76</v>
      </c>
      <c r="R354" s="11">
        <v>-19.892</v>
      </c>
      <c r="S354" s="12">
        <v>0.89</v>
      </c>
      <c r="T354" s="13">
        <f t="shared" si="1"/>
        <v>1368.758</v>
      </c>
      <c r="U354" s="14">
        <f t="shared" si="2"/>
        <v>4.312</v>
      </c>
      <c r="V354" s="14">
        <f t="shared" si="3"/>
        <v>-0.3018741259</v>
      </c>
      <c r="W354" s="15" t="str">
        <f t="shared" si="4"/>
        <v/>
      </c>
      <c r="X354" s="11">
        <f t="shared" si="5"/>
        <v>1368.518</v>
      </c>
      <c r="Y354" s="14">
        <f t="shared" si="6"/>
        <v>0.24</v>
      </c>
      <c r="Z354" s="25"/>
      <c r="AA354" s="21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</row>
    <row r="355">
      <c r="A355" s="7"/>
      <c r="B355" s="7"/>
      <c r="C355" s="7"/>
      <c r="D355" s="7"/>
      <c r="E355" s="7"/>
      <c r="F355" s="7" t="s">
        <v>22</v>
      </c>
      <c r="G355" s="8">
        <v>1616.0</v>
      </c>
      <c r="H355" s="9">
        <v>39.2921563889</v>
      </c>
      <c r="I355" s="9">
        <v>-112.856443333</v>
      </c>
      <c r="J355" s="10">
        <v>1374.79</v>
      </c>
      <c r="K355" s="11">
        <v>4511.937</v>
      </c>
      <c r="L355" s="11">
        <v>-527.486</v>
      </c>
      <c r="M355" s="11">
        <v>3.129</v>
      </c>
      <c r="N355" s="11">
        <v>4511.933</v>
      </c>
      <c r="O355" s="11">
        <v>-527.485</v>
      </c>
      <c r="P355" s="11">
        <v>-2.671</v>
      </c>
      <c r="Q355" s="11">
        <v>1387.87</v>
      </c>
      <c r="R355" s="11">
        <v>-19.885</v>
      </c>
      <c r="S355" s="12">
        <v>0.89</v>
      </c>
      <c r="T355" s="13">
        <f t="shared" si="1"/>
        <v>1368.875</v>
      </c>
      <c r="U355" s="14">
        <f t="shared" si="2"/>
        <v>5.915</v>
      </c>
      <c r="V355" s="14">
        <f t="shared" si="3"/>
        <v>1.714393473</v>
      </c>
      <c r="W355" s="15" t="str">
        <f t="shared" si="4"/>
        <v/>
      </c>
      <c r="X355" s="11">
        <f t="shared" si="5"/>
        <v>1370.238</v>
      </c>
      <c r="Y355" s="14">
        <f t="shared" si="6"/>
        <v>-1.363</v>
      </c>
      <c r="Z355" s="25"/>
      <c r="AA355" s="21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</row>
    <row r="356">
      <c r="A356" s="7"/>
      <c r="B356" s="7"/>
      <c r="C356" s="7"/>
      <c r="D356" s="7"/>
      <c r="E356" s="7"/>
      <c r="F356" s="7" t="s">
        <v>22</v>
      </c>
      <c r="G356" s="8">
        <v>1617.0</v>
      </c>
      <c r="H356" s="9">
        <v>39.3028811111</v>
      </c>
      <c r="I356" s="9">
        <v>-112.856312778</v>
      </c>
      <c r="J356" s="10">
        <v>1374.25</v>
      </c>
      <c r="K356" s="11">
        <v>4522.464</v>
      </c>
      <c r="L356" s="11">
        <v>663.48</v>
      </c>
      <c r="M356" s="11">
        <v>2.569</v>
      </c>
      <c r="N356" s="11">
        <v>4522.46</v>
      </c>
      <c r="O356" s="11">
        <v>663.479</v>
      </c>
      <c r="P356" s="11">
        <v>-2.511</v>
      </c>
      <c r="Q356" s="11">
        <v>1388.05</v>
      </c>
      <c r="R356" s="11">
        <v>-19.878</v>
      </c>
      <c r="S356" s="12">
        <v>0.89</v>
      </c>
      <c r="T356" s="13">
        <f t="shared" si="1"/>
        <v>1369.062</v>
      </c>
      <c r="U356" s="14">
        <f t="shared" si="2"/>
        <v>5.188</v>
      </c>
      <c r="V356" s="14">
        <f t="shared" si="3"/>
        <v>0.7999664336</v>
      </c>
      <c r="W356" s="15" t="str">
        <f t="shared" si="4"/>
        <v/>
      </c>
      <c r="X356" s="11">
        <f t="shared" si="5"/>
        <v>1369.698</v>
      </c>
      <c r="Y356" s="14">
        <f t="shared" si="6"/>
        <v>-0.636</v>
      </c>
      <c r="Z356" s="25"/>
      <c r="AA356" s="21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</row>
    <row r="357">
      <c r="A357" s="7"/>
      <c r="B357" s="7"/>
      <c r="C357" s="7"/>
      <c r="D357" s="7"/>
      <c r="E357" s="7"/>
      <c r="F357" s="7" t="s">
        <v>22</v>
      </c>
      <c r="G357" s="8">
        <v>1618.0</v>
      </c>
      <c r="H357" s="9">
        <v>39.3138386111</v>
      </c>
      <c r="I357" s="9">
        <v>-112.856408056</v>
      </c>
      <c r="J357" s="10">
        <v>1375.03</v>
      </c>
      <c r="K357" s="11">
        <v>4513.564</v>
      </c>
      <c r="L357" s="11">
        <v>1880.31</v>
      </c>
      <c r="M357" s="11">
        <v>3.112</v>
      </c>
      <c r="N357" s="11">
        <v>4513.561</v>
      </c>
      <c r="O357" s="11">
        <v>1880.309</v>
      </c>
      <c r="P357" s="11">
        <v>-1.738</v>
      </c>
      <c r="Q357" s="11">
        <v>1389.05</v>
      </c>
      <c r="R357" s="11">
        <v>-19.87</v>
      </c>
      <c r="S357" s="12">
        <v>0.89</v>
      </c>
      <c r="T357" s="13">
        <f t="shared" si="1"/>
        <v>1370.07</v>
      </c>
      <c r="U357" s="14">
        <f t="shared" si="2"/>
        <v>4.96</v>
      </c>
      <c r="V357" s="14">
        <f t="shared" si="3"/>
        <v>0.513186014</v>
      </c>
      <c r="W357" s="15" t="str">
        <f t="shared" si="4"/>
        <v/>
      </c>
      <c r="X357" s="11">
        <f t="shared" si="5"/>
        <v>1370.478</v>
      </c>
      <c r="Y357" s="14">
        <f t="shared" si="6"/>
        <v>-0.408</v>
      </c>
      <c r="Z357" s="25"/>
      <c r="AA357" s="21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</row>
    <row r="358">
      <c r="A358" s="7"/>
      <c r="B358" s="7"/>
      <c r="C358" s="7"/>
      <c r="D358" s="7"/>
      <c r="E358" s="7"/>
      <c r="F358" s="7" t="s">
        <v>22</v>
      </c>
      <c r="G358" s="8">
        <v>1619.0</v>
      </c>
      <c r="H358" s="9">
        <v>39.3275116667</v>
      </c>
      <c r="I358" s="9">
        <v>-112.856425278</v>
      </c>
      <c r="J358" s="10">
        <v>1375.26</v>
      </c>
      <c r="K358" s="11">
        <v>4511.22</v>
      </c>
      <c r="L358" s="11">
        <v>3398.636</v>
      </c>
      <c r="M358" s="11">
        <v>2.713</v>
      </c>
      <c r="N358" s="11">
        <v>4511.216</v>
      </c>
      <c r="O358" s="11">
        <v>3398.633</v>
      </c>
      <c r="P358" s="11">
        <v>-2.747</v>
      </c>
      <c r="Q358" s="11">
        <v>1388.66</v>
      </c>
      <c r="R358" s="11">
        <v>-19.857</v>
      </c>
      <c r="S358" s="12">
        <v>0.89</v>
      </c>
      <c r="T358" s="13">
        <f t="shared" si="1"/>
        <v>1369.693</v>
      </c>
      <c r="U358" s="14">
        <f t="shared" si="2"/>
        <v>5.567</v>
      </c>
      <c r="V358" s="14">
        <f t="shared" si="3"/>
        <v>1.276675991</v>
      </c>
      <c r="W358" s="15" t="str">
        <f t="shared" si="4"/>
        <v/>
      </c>
      <c r="X358" s="11">
        <f t="shared" si="5"/>
        <v>1370.708</v>
      </c>
      <c r="Y358" s="14">
        <f t="shared" si="6"/>
        <v>-1.015</v>
      </c>
      <c r="Z358" s="25"/>
      <c r="AA358" s="21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</row>
    <row r="359">
      <c r="A359" s="7"/>
      <c r="B359" s="7"/>
      <c r="C359" s="7"/>
      <c r="D359" s="7"/>
      <c r="E359" s="7"/>
      <c r="F359" s="7" t="s">
        <v>22</v>
      </c>
      <c r="G359" s="8">
        <v>1620.0</v>
      </c>
      <c r="H359" s="9">
        <v>39.3352480556</v>
      </c>
      <c r="I359" s="9">
        <v>-112.856380556</v>
      </c>
      <c r="J359" s="10">
        <v>1376.38</v>
      </c>
      <c r="K359" s="11">
        <v>4514.518</v>
      </c>
      <c r="L359" s="11">
        <v>4257.689</v>
      </c>
      <c r="M359" s="11">
        <v>3.314</v>
      </c>
      <c r="N359" s="11">
        <v>4514.515</v>
      </c>
      <c r="O359" s="11">
        <v>4257.686</v>
      </c>
      <c r="P359" s="11">
        <v>-0.946</v>
      </c>
      <c r="Q359" s="11">
        <v>1390.97</v>
      </c>
      <c r="R359" s="11">
        <v>-19.848</v>
      </c>
      <c r="S359" s="12">
        <v>0.89</v>
      </c>
      <c r="T359" s="13">
        <f t="shared" si="1"/>
        <v>1372.012</v>
      </c>
      <c r="U359" s="14">
        <f t="shared" si="2"/>
        <v>4.368</v>
      </c>
      <c r="V359" s="14">
        <f t="shared" si="3"/>
        <v>-0.2314368298</v>
      </c>
      <c r="W359" s="15" t="str">
        <f t="shared" si="4"/>
        <v/>
      </c>
      <c r="X359" s="11">
        <f t="shared" si="5"/>
        <v>1371.828</v>
      </c>
      <c r="Y359" s="14">
        <f t="shared" si="6"/>
        <v>0.184</v>
      </c>
      <c r="Z359" s="25"/>
      <c r="AA359" s="21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</row>
    <row r="360">
      <c r="A360" s="7"/>
      <c r="B360" s="7"/>
      <c r="C360" s="7"/>
      <c r="D360" s="7"/>
      <c r="E360" s="7"/>
      <c r="F360" s="7" t="s">
        <v>22</v>
      </c>
      <c r="G360" s="8">
        <v>1621.0</v>
      </c>
      <c r="H360" s="9">
        <v>39.3461472222</v>
      </c>
      <c r="I360" s="9">
        <v>-112.8563375</v>
      </c>
      <c r="J360" s="10">
        <v>1379.65</v>
      </c>
      <c r="K360" s="11">
        <v>4517.526</v>
      </c>
      <c r="L360" s="11">
        <v>5467.984</v>
      </c>
      <c r="M360" s="11">
        <v>5.657</v>
      </c>
      <c r="N360" s="11">
        <v>4517.522</v>
      </c>
      <c r="O360" s="11">
        <v>5467.978</v>
      </c>
      <c r="P360" s="11">
        <v>-0.643</v>
      </c>
      <c r="Q360" s="11">
        <v>1392.18</v>
      </c>
      <c r="R360" s="11">
        <v>-19.832</v>
      </c>
      <c r="S360" s="12">
        <v>0.89</v>
      </c>
      <c r="T360" s="13">
        <f t="shared" si="1"/>
        <v>1373.238</v>
      </c>
      <c r="U360" s="14">
        <f t="shared" si="2"/>
        <v>6.412</v>
      </c>
      <c r="V360" s="14">
        <f t="shared" si="3"/>
        <v>2.339524476</v>
      </c>
      <c r="W360" s="15" t="str">
        <f t="shared" si="4"/>
        <v/>
      </c>
      <c r="X360" s="11">
        <f t="shared" si="5"/>
        <v>1375.098</v>
      </c>
      <c r="Y360" s="14">
        <f t="shared" si="6"/>
        <v>-1.86</v>
      </c>
      <c r="Z360" s="25"/>
      <c r="AA360" s="21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</row>
    <row r="361">
      <c r="A361" s="7"/>
      <c r="B361" s="7"/>
      <c r="C361" s="7"/>
      <c r="D361" s="7"/>
      <c r="E361" s="7"/>
      <c r="F361" s="7" t="s">
        <v>22</v>
      </c>
      <c r="G361" s="8">
        <v>1622.0</v>
      </c>
      <c r="H361" s="9">
        <v>39.3595058333</v>
      </c>
      <c r="I361" s="9">
        <v>-112.856257222</v>
      </c>
      <c r="J361" s="10">
        <v>1376.67</v>
      </c>
      <c r="K361" s="11">
        <v>4523.647</v>
      </c>
      <c r="L361" s="11">
        <v>6951.451</v>
      </c>
      <c r="M361" s="11">
        <v>1.225</v>
      </c>
      <c r="N361" s="11">
        <v>4523.644</v>
      </c>
      <c r="O361" s="11">
        <v>6951.446</v>
      </c>
      <c r="P361" s="11">
        <v>-3.285</v>
      </c>
      <c r="Q361" s="11">
        <v>1390.97</v>
      </c>
      <c r="R361" s="11">
        <v>-19.81</v>
      </c>
      <c r="S361" s="12">
        <v>0.89</v>
      </c>
      <c r="T361" s="13">
        <f t="shared" si="1"/>
        <v>1372.05</v>
      </c>
      <c r="U361" s="14">
        <f t="shared" si="2"/>
        <v>4.62</v>
      </c>
      <c r="V361" s="14">
        <f t="shared" si="3"/>
        <v>0.08553100233</v>
      </c>
      <c r="W361" s="15" t="str">
        <f t="shared" si="4"/>
        <v/>
      </c>
      <c r="X361" s="11">
        <f t="shared" si="5"/>
        <v>1372.118</v>
      </c>
      <c r="Y361" s="14">
        <f t="shared" si="6"/>
        <v>-0.068</v>
      </c>
      <c r="Z361" s="25"/>
      <c r="AA361" s="21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</row>
    <row r="362">
      <c r="A362" s="7"/>
      <c r="B362" s="7"/>
      <c r="C362" s="7"/>
      <c r="D362" s="7"/>
      <c r="E362" s="7"/>
      <c r="F362" s="7" t="s">
        <v>22</v>
      </c>
      <c r="G362" s="8">
        <v>1623.0</v>
      </c>
      <c r="H362" s="9">
        <v>39.3678466667</v>
      </c>
      <c r="I362" s="9">
        <v>-112.856185833</v>
      </c>
      <c r="J362" s="10">
        <v>1379.74</v>
      </c>
      <c r="K362" s="11">
        <v>4529.231</v>
      </c>
      <c r="L362" s="11">
        <v>7877.696</v>
      </c>
      <c r="M362" s="11">
        <v>3.211</v>
      </c>
      <c r="N362" s="11">
        <v>4529.227</v>
      </c>
      <c r="O362" s="11">
        <v>7877.689</v>
      </c>
      <c r="P362" s="11">
        <v>-2.089</v>
      </c>
      <c r="Q362" s="11">
        <v>1393.23</v>
      </c>
      <c r="R362" s="11">
        <v>-19.794</v>
      </c>
      <c r="S362" s="12">
        <v>0.89</v>
      </c>
      <c r="T362" s="13">
        <f t="shared" si="1"/>
        <v>1374.326</v>
      </c>
      <c r="U362" s="14">
        <f t="shared" si="2"/>
        <v>5.414</v>
      </c>
      <c r="V362" s="14">
        <f t="shared" si="3"/>
        <v>1.084231235</v>
      </c>
      <c r="W362" s="15" t="str">
        <f t="shared" si="4"/>
        <v/>
      </c>
      <c r="X362" s="11">
        <f t="shared" si="5"/>
        <v>1375.188</v>
      </c>
      <c r="Y362" s="14">
        <f t="shared" si="6"/>
        <v>-0.862</v>
      </c>
      <c r="Z362" s="25"/>
      <c r="AA362" s="21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</row>
    <row r="363">
      <c r="A363" s="7"/>
      <c r="B363" s="7"/>
      <c r="C363" s="7"/>
      <c r="D363" s="7"/>
      <c r="E363" s="7"/>
      <c r="F363" s="7" t="s">
        <v>22</v>
      </c>
      <c r="G363" s="8">
        <v>1624.0</v>
      </c>
      <c r="H363" s="9">
        <v>39.3786877778</v>
      </c>
      <c r="I363" s="9">
        <v>-112.856236667</v>
      </c>
      <c r="J363" s="10">
        <v>1381.64</v>
      </c>
      <c r="K363" s="11">
        <v>4524.136</v>
      </c>
      <c r="L363" s="11">
        <v>9081.552</v>
      </c>
      <c r="M363" s="11">
        <v>3.511</v>
      </c>
      <c r="N363" s="11">
        <v>4524.133</v>
      </c>
      <c r="O363" s="11">
        <v>9081.546</v>
      </c>
      <c r="P363" s="11">
        <v>-0.829</v>
      </c>
      <c r="Q363" s="11">
        <v>1396.07</v>
      </c>
      <c r="R363" s="11">
        <v>-19.772</v>
      </c>
      <c r="S363" s="12">
        <v>0.89</v>
      </c>
      <c r="T363" s="13">
        <f t="shared" si="1"/>
        <v>1377.188</v>
      </c>
      <c r="U363" s="14">
        <f t="shared" si="2"/>
        <v>4.452</v>
      </c>
      <c r="V363" s="14">
        <f t="shared" si="3"/>
        <v>-0.1257808858</v>
      </c>
      <c r="W363" s="15" t="str">
        <f t="shared" si="4"/>
        <v/>
      </c>
      <c r="X363" s="11">
        <f t="shared" si="5"/>
        <v>1377.088</v>
      </c>
      <c r="Y363" s="14">
        <f t="shared" si="6"/>
        <v>0.1</v>
      </c>
      <c r="Z363" s="25"/>
      <c r="AA363" s="21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</row>
    <row r="364">
      <c r="A364" s="7"/>
      <c r="B364" s="7"/>
      <c r="C364" s="7"/>
      <c r="D364" s="7"/>
      <c r="E364" s="7"/>
      <c r="F364" s="7" t="s">
        <v>22</v>
      </c>
      <c r="G364" s="8">
        <v>1625.0</v>
      </c>
      <c r="H364" s="9">
        <v>39.3894227778</v>
      </c>
      <c r="I364" s="9">
        <v>-112.856215278</v>
      </c>
      <c r="J364" s="10">
        <v>1388.25</v>
      </c>
      <c r="K364" s="11">
        <v>4525.344</v>
      </c>
      <c r="L364" s="11">
        <v>10273.651</v>
      </c>
      <c r="M364" s="11">
        <v>8.307</v>
      </c>
      <c r="N364" s="11">
        <v>4525.34</v>
      </c>
      <c r="O364" s="11">
        <v>10273.642</v>
      </c>
      <c r="P364" s="11">
        <v>2.587</v>
      </c>
      <c r="Q364" s="11">
        <v>1401.28</v>
      </c>
      <c r="R364" s="11">
        <v>-19.75</v>
      </c>
      <c r="S364" s="12">
        <v>0.89</v>
      </c>
      <c r="T364" s="13">
        <f t="shared" si="1"/>
        <v>1382.42</v>
      </c>
      <c r="U364" s="14">
        <f t="shared" si="2"/>
        <v>5.83</v>
      </c>
      <c r="V364" s="14">
        <f t="shared" si="3"/>
        <v>1.60747972</v>
      </c>
      <c r="W364" s="15" t="str">
        <f t="shared" si="4"/>
        <v/>
      </c>
      <c r="X364" s="11">
        <f t="shared" si="5"/>
        <v>1383.698</v>
      </c>
      <c r="Y364" s="14">
        <f t="shared" si="6"/>
        <v>-1.278</v>
      </c>
      <c r="Z364" s="25"/>
      <c r="AA364" s="21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</row>
    <row r="365">
      <c r="A365" s="7"/>
      <c r="B365" s="7"/>
      <c r="C365" s="7"/>
      <c r="D365" s="7"/>
      <c r="E365" s="7"/>
      <c r="F365" s="7" t="s">
        <v>22</v>
      </c>
      <c r="G365" s="8">
        <v>1626.0</v>
      </c>
      <c r="H365" s="9">
        <v>39.4002963889</v>
      </c>
      <c r="I365" s="9">
        <v>-112.856189444</v>
      </c>
      <c r="J365" s="10">
        <v>1396.47</v>
      </c>
      <c r="K365" s="11">
        <v>4526.887</v>
      </c>
      <c r="L365" s="11">
        <v>11481.082</v>
      </c>
      <c r="M365" s="11">
        <v>14.461</v>
      </c>
      <c r="N365" s="11">
        <v>4526.884</v>
      </c>
      <c r="O365" s="11">
        <v>11481.074</v>
      </c>
      <c r="P365" s="11">
        <v>9.741</v>
      </c>
      <c r="Q365" s="11">
        <v>1410.48</v>
      </c>
      <c r="R365" s="11">
        <v>-19.726</v>
      </c>
      <c r="S365" s="12">
        <v>0.89</v>
      </c>
      <c r="T365" s="13">
        <f t="shared" si="1"/>
        <v>1391.644</v>
      </c>
      <c r="U365" s="14">
        <f t="shared" si="2"/>
        <v>4.826</v>
      </c>
      <c r="V365" s="14">
        <f t="shared" si="3"/>
        <v>0.344639627</v>
      </c>
      <c r="W365" s="15" t="str">
        <f t="shared" si="4"/>
        <v/>
      </c>
      <c r="X365" s="11">
        <f t="shared" si="5"/>
        <v>1391.918</v>
      </c>
      <c r="Y365" s="14">
        <f t="shared" si="6"/>
        <v>-0.274</v>
      </c>
      <c r="Z365" s="25"/>
      <c r="AA365" s="21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</row>
    <row r="366">
      <c r="A366" s="7"/>
      <c r="B366" s="7"/>
      <c r="C366" s="7"/>
      <c r="D366" s="7"/>
      <c r="E366" s="7"/>
      <c r="F366" s="7" t="s">
        <v>22</v>
      </c>
      <c r="G366" s="8">
        <v>1627.0</v>
      </c>
      <c r="H366" s="9">
        <v>39.4109091667</v>
      </c>
      <c r="I366" s="9">
        <v>-112.856825833</v>
      </c>
      <c r="J366" s="10">
        <v>1422.99</v>
      </c>
      <c r="K366" s="11">
        <v>4471.347</v>
      </c>
      <c r="L366" s="11">
        <v>12659.649</v>
      </c>
      <c r="M366" s="11">
        <v>38.785</v>
      </c>
      <c r="N366" s="11">
        <v>4471.344</v>
      </c>
      <c r="O366" s="11">
        <v>12659.641</v>
      </c>
      <c r="P366" s="11">
        <v>34.565</v>
      </c>
      <c r="Q366" s="11">
        <v>1437.47</v>
      </c>
      <c r="R366" s="11">
        <v>-19.7</v>
      </c>
      <c r="S366" s="12">
        <v>0.89</v>
      </c>
      <c r="T366" s="13">
        <f t="shared" si="1"/>
        <v>1418.66</v>
      </c>
      <c r="U366" s="14">
        <f t="shared" si="2"/>
        <v>4.33</v>
      </c>
      <c r="V366" s="14">
        <f t="shared" si="3"/>
        <v>-0.2792335664</v>
      </c>
      <c r="W366" s="15" t="str">
        <f t="shared" si="4"/>
        <v/>
      </c>
      <c r="X366" s="11">
        <f t="shared" si="5"/>
        <v>1418.438</v>
      </c>
      <c r="Y366" s="14">
        <f t="shared" si="6"/>
        <v>0.222</v>
      </c>
      <c r="Z366" s="25"/>
      <c r="AA366" s="21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</row>
    <row r="367">
      <c r="A367" s="7"/>
      <c r="B367" s="7"/>
      <c r="C367" s="7"/>
      <c r="D367" s="7"/>
      <c r="E367" s="7"/>
      <c r="F367" s="7" t="s">
        <v>22</v>
      </c>
      <c r="G367" s="8">
        <v>1628.0</v>
      </c>
      <c r="H367" s="9">
        <v>39.4209186111</v>
      </c>
      <c r="I367" s="9">
        <v>-112.859149167</v>
      </c>
      <c r="J367" s="10">
        <v>1438.06</v>
      </c>
      <c r="K367" s="11">
        <v>4270.638</v>
      </c>
      <c r="L367" s="11">
        <v>13771.16</v>
      </c>
      <c r="M367" s="11">
        <v>51.683</v>
      </c>
      <c r="N367" s="11">
        <v>4270.635</v>
      </c>
      <c r="O367" s="11">
        <v>13771.149</v>
      </c>
      <c r="P367" s="11">
        <v>46.643</v>
      </c>
      <c r="Q367" s="11">
        <v>1451.69</v>
      </c>
      <c r="R367" s="11">
        <v>-19.675</v>
      </c>
      <c r="S367" s="12">
        <v>0.89</v>
      </c>
      <c r="T367" s="13">
        <f t="shared" si="1"/>
        <v>1432.905</v>
      </c>
      <c r="U367" s="14">
        <f t="shared" si="2"/>
        <v>5.155</v>
      </c>
      <c r="V367" s="14">
        <f t="shared" si="3"/>
        <v>0.7584587413</v>
      </c>
      <c r="W367" s="15" t="str">
        <f t="shared" si="4"/>
        <v/>
      </c>
      <c r="X367" s="11">
        <f t="shared" si="5"/>
        <v>1433.508</v>
      </c>
      <c r="Y367" s="14">
        <f t="shared" si="6"/>
        <v>-0.603</v>
      </c>
      <c r="Z367" s="25"/>
      <c r="AA367" s="21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</row>
    <row r="368">
      <c r="A368" s="7"/>
      <c r="B368" s="7"/>
      <c r="C368" s="7"/>
      <c r="D368" s="7"/>
      <c r="E368" s="7"/>
      <c r="F368" s="7" t="s">
        <v>22</v>
      </c>
      <c r="G368" s="8">
        <v>1701.0</v>
      </c>
      <c r="H368" s="9">
        <v>39.1298713889</v>
      </c>
      <c r="I368" s="9">
        <v>-112.84298</v>
      </c>
      <c r="J368" s="10">
        <v>1378.94</v>
      </c>
      <c r="K368" s="11">
        <v>5686.704</v>
      </c>
      <c r="L368" s="11">
        <v>-18547.404</v>
      </c>
      <c r="M368" s="11">
        <v>-20.672</v>
      </c>
      <c r="N368" s="11">
        <v>5686.7</v>
      </c>
      <c r="O368" s="11">
        <v>-18547.391</v>
      </c>
      <c r="P368" s="11">
        <v>-25.142</v>
      </c>
      <c r="Q368" s="11">
        <v>1393.47</v>
      </c>
      <c r="R368" s="11">
        <v>-19.996</v>
      </c>
      <c r="S368" s="12">
        <v>0.89</v>
      </c>
      <c r="T368" s="13">
        <f t="shared" si="1"/>
        <v>1374.364</v>
      </c>
      <c r="U368" s="14">
        <f t="shared" si="2"/>
        <v>4.576</v>
      </c>
      <c r="V368" s="14">
        <f t="shared" si="3"/>
        <v>0.03018741259</v>
      </c>
      <c r="W368" s="15" t="str">
        <f t="shared" si="4"/>
        <v/>
      </c>
      <c r="X368" s="11">
        <f t="shared" si="5"/>
        <v>1374.388</v>
      </c>
      <c r="Y368" s="14">
        <f t="shared" si="6"/>
        <v>-0.024</v>
      </c>
      <c r="Z368" s="25"/>
      <c r="AA368" s="21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</row>
    <row r="369">
      <c r="A369" s="7"/>
      <c r="B369" s="7"/>
      <c r="C369" s="7"/>
      <c r="D369" s="7"/>
      <c r="E369" s="7"/>
      <c r="F369" s="7" t="s">
        <v>22</v>
      </c>
      <c r="G369" s="8">
        <v>1702.0</v>
      </c>
      <c r="H369" s="9">
        <v>39.140705</v>
      </c>
      <c r="I369" s="9">
        <v>-112.842936111</v>
      </c>
      <c r="J369" s="10">
        <v>1378.38</v>
      </c>
      <c r="K369" s="11">
        <v>5689.637</v>
      </c>
      <c r="L369" s="11">
        <v>-17344.375</v>
      </c>
      <c r="M369" s="11">
        <v>-17.841</v>
      </c>
      <c r="N369" s="11">
        <v>5689.631</v>
      </c>
      <c r="O369" s="11">
        <v>-17344.359</v>
      </c>
      <c r="P369" s="11">
        <v>-23.641</v>
      </c>
      <c r="Q369" s="11">
        <v>1391.57</v>
      </c>
      <c r="R369" s="11">
        <v>-19.993</v>
      </c>
      <c r="S369" s="12">
        <v>0.89</v>
      </c>
      <c r="T369" s="13">
        <f t="shared" si="1"/>
        <v>1372.467</v>
      </c>
      <c r="U369" s="14">
        <f t="shared" si="2"/>
        <v>5.913</v>
      </c>
      <c r="V369" s="14">
        <f t="shared" si="3"/>
        <v>1.711877855</v>
      </c>
      <c r="W369" s="15" t="str">
        <f t="shared" si="4"/>
        <v/>
      </c>
      <c r="X369" s="11">
        <f t="shared" si="5"/>
        <v>1373.828</v>
      </c>
      <c r="Y369" s="14">
        <f t="shared" si="6"/>
        <v>-1.361</v>
      </c>
      <c r="Z369" s="25"/>
      <c r="AA369" s="21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</row>
    <row r="370">
      <c r="A370" s="7"/>
      <c r="B370" s="7"/>
      <c r="C370" s="7"/>
      <c r="D370" s="7"/>
      <c r="E370" s="7"/>
      <c r="F370" s="7" t="s">
        <v>22</v>
      </c>
      <c r="G370" s="8">
        <v>1703.0</v>
      </c>
      <c r="H370" s="9">
        <v>39.1515425</v>
      </c>
      <c r="I370" s="9">
        <v>-112.842961667</v>
      </c>
      <c r="J370" s="10">
        <v>1375.97</v>
      </c>
      <c r="K370" s="11">
        <v>5686.514</v>
      </c>
      <c r="L370" s="11">
        <v>-16140.898</v>
      </c>
      <c r="M370" s="11">
        <v>-17.081</v>
      </c>
      <c r="N370" s="11">
        <v>5686.51</v>
      </c>
      <c r="O370" s="11">
        <v>-16140.886</v>
      </c>
      <c r="P370" s="11">
        <v>-21.871</v>
      </c>
      <c r="Q370" s="11">
        <v>1390.17</v>
      </c>
      <c r="R370" s="11">
        <v>-19.988</v>
      </c>
      <c r="S370" s="12">
        <v>0.89</v>
      </c>
      <c r="T370" s="13">
        <f t="shared" si="1"/>
        <v>1371.072</v>
      </c>
      <c r="U370" s="14">
        <f t="shared" si="2"/>
        <v>4.898</v>
      </c>
      <c r="V370" s="14">
        <f t="shared" si="3"/>
        <v>0.4352018648</v>
      </c>
      <c r="W370" s="15" t="str">
        <f t="shared" si="4"/>
        <v/>
      </c>
      <c r="X370" s="11">
        <f t="shared" si="5"/>
        <v>1371.418</v>
      </c>
      <c r="Y370" s="14">
        <f t="shared" si="6"/>
        <v>-0.346</v>
      </c>
      <c r="Z370" s="25"/>
      <c r="AA370" s="21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</row>
    <row r="371">
      <c r="A371" s="7"/>
      <c r="B371" s="7"/>
      <c r="C371" s="7"/>
      <c r="D371" s="7"/>
      <c r="E371" s="7"/>
      <c r="F371" s="7" t="s">
        <v>22</v>
      </c>
      <c r="G371" s="8">
        <v>1704.0</v>
      </c>
      <c r="H371" s="9">
        <v>39.1623752778</v>
      </c>
      <c r="I371" s="9">
        <v>-112.842869444</v>
      </c>
      <c r="J371" s="10">
        <v>1374.49</v>
      </c>
      <c r="K371" s="11">
        <v>5693.68</v>
      </c>
      <c r="L371" s="11">
        <v>-14938.08</v>
      </c>
      <c r="M371" s="11">
        <v>-15.63</v>
      </c>
      <c r="N371" s="11">
        <v>5693.676</v>
      </c>
      <c r="O371" s="11">
        <v>-14938.069</v>
      </c>
      <c r="P371" s="11">
        <v>-20.34</v>
      </c>
      <c r="Q371" s="11">
        <v>1388.76</v>
      </c>
      <c r="R371" s="11">
        <v>-19.982</v>
      </c>
      <c r="S371" s="12">
        <v>0.89</v>
      </c>
      <c r="T371" s="13">
        <f t="shared" si="1"/>
        <v>1369.668</v>
      </c>
      <c r="U371" s="14">
        <f t="shared" si="2"/>
        <v>4.822</v>
      </c>
      <c r="V371" s="14">
        <f t="shared" si="3"/>
        <v>0.3396083916</v>
      </c>
      <c r="W371" s="15" t="str">
        <f t="shared" si="4"/>
        <v/>
      </c>
      <c r="X371" s="11">
        <f t="shared" si="5"/>
        <v>1369.938</v>
      </c>
      <c r="Y371" s="14">
        <f t="shared" si="6"/>
        <v>-0.27</v>
      </c>
      <c r="Z371" s="25"/>
      <c r="AA371" s="21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</row>
    <row r="372">
      <c r="A372" s="7"/>
      <c r="B372" s="7"/>
      <c r="C372" s="7"/>
      <c r="D372" s="7"/>
      <c r="E372" s="7"/>
      <c r="F372" s="7" t="s">
        <v>22</v>
      </c>
      <c r="G372" s="8">
        <v>1705.0</v>
      </c>
      <c r="H372" s="9">
        <v>39.1731958333</v>
      </c>
      <c r="I372" s="9">
        <v>-112.842920278</v>
      </c>
      <c r="J372" s="10">
        <v>1374.3</v>
      </c>
      <c r="K372" s="11">
        <v>5688.4</v>
      </c>
      <c r="L372" s="11">
        <v>-13736.494</v>
      </c>
      <c r="M372" s="11">
        <v>-13.107</v>
      </c>
      <c r="N372" s="11">
        <v>5688.396</v>
      </c>
      <c r="O372" s="11">
        <v>-13736.485</v>
      </c>
      <c r="P372" s="11">
        <v>-17.167</v>
      </c>
      <c r="Q372" s="11">
        <v>1389.21</v>
      </c>
      <c r="R372" s="11">
        <v>-19.974</v>
      </c>
      <c r="S372" s="12">
        <v>0.89</v>
      </c>
      <c r="T372" s="13">
        <f t="shared" si="1"/>
        <v>1370.126</v>
      </c>
      <c r="U372" s="14">
        <f t="shared" si="2"/>
        <v>4.174</v>
      </c>
      <c r="V372" s="14">
        <f t="shared" si="3"/>
        <v>-0.4754517483</v>
      </c>
      <c r="W372" s="15" t="str">
        <f t="shared" si="4"/>
        <v/>
      </c>
      <c r="X372" s="11">
        <f t="shared" si="5"/>
        <v>1369.748</v>
      </c>
      <c r="Y372" s="14">
        <f t="shared" si="6"/>
        <v>0.378</v>
      </c>
      <c r="Z372" s="25"/>
      <c r="AA372" s="21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</row>
    <row r="373">
      <c r="A373" s="7"/>
      <c r="B373" s="7"/>
      <c r="C373" s="7"/>
      <c r="D373" s="7"/>
      <c r="E373" s="7"/>
      <c r="F373" s="7" t="s">
        <v>22</v>
      </c>
      <c r="G373" s="8">
        <v>1706.0</v>
      </c>
      <c r="H373" s="9">
        <v>39.1839086111</v>
      </c>
      <c r="I373" s="9">
        <v>-112.842862778</v>
      </c>
      <c r="J373" s="10">
        <v>1374.1</v>
      </c>
      <c r="K373" s="11">
        <v>5692.462</v>
      </c>
      <c r="L373" s="11">
        <v>-12546.89</v>
      </c>
      <c r="M373" s="11">
        <v>-10.854</v>
      </c>
      <c r="N373" s="11">
        <v>5692.459</v>
      </c>
      <c r="O373" s="11">
        <v>-12546.883</v>
      </c>
      <c r="P373" s="11">
        <v>-14.534</v>
      </c>
      <c r="Q373" s="11">
        <v>1389.38</v>
      </c>
      <c r="R373" s="11">
        <v>-19.964</v>
      </c>
      <c r="S373" s="12">
        <v>0.89</v>
      </c>
      <c r="T373" s="13">
        <f t="shared" si="1"/>
        <v>1370.306</v>
      </c>
      <c r="U373" s="14">
        <f t="shared" si="2"/>
        <v>3.794</v>
      </c>
      <c r="V373" s="14">
        <f t="shared" si="3"/>
        <v>-0.9534191142</v>
      </c>
      <c r="W373" s="15" t="str">
        <f t="shared" si="4"/>
        <v/>
      </c>
      <c r="X373" s="11">
        <f t="shared" si="5"/>
        <v>1369.548</v>
      </c>
      <c r="Y373" s="14">
        <f t="shared" si="6"/>
        <v>0.758</v>
      </c>
      <c r="Z373" s="25"/>
      <c r="AA373" s="21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</row>
    <row r="374">
      <c r="A374" s="7"/>
      <c r="B374" s="7"/>
      <c r="C374" s="7"/>
      <c r="D374" s="7"/>
      <c r="E374" s="7"/>
      <c r="F374" s="7" t="s">
        <v>22</v>
      </c>
      <c r="G374" s="8">
        <v>1707.0</v>
      </c>
      <c r="H374" s="9">
        <v>39.1947855556</v>
      </c>
      <c r="I374" s="9">
        <v>-112.842776389</v>
      </c>
      <c r="J374" s="10">
        <v>1376.86</v>
      </c>
      <c r="K374" s="11">
        <v>5699.105</v>
      </c>
      <c r="L374" s="11">
        <v>-11339.076</v>
      </c>
      <c r="M374" s="11">
        <v>-5.833</v>
      </c>
      <c r="N374" s="11">
        <v>5699.1</v>
      </c>
      <c r="O374" s="11">
        <v>-11339.068</v>
      </c>
      <c r="P374" s="11">
        <v>-10.703</v>
      </c>
      <c r="Q374" s="11">
        <v>1390.94</v>
      </c>
      <c r="R374" s="11">
        <v>-19.954</v>
      </c>
      <c r="S374" s="12">
        <v>0.89</v>
      </c>
      <c r="T374" s="13">
        <f t="shared" si="1"/>
        <v>1371.876</v>
      </c>
      <c r="U374" s="14">
        <f t="shared" si="2"/>
        <v>4.984</v>
      </c>
      <c r="V374" s="14">
        <f t="shared" si="3"/>
        <v>0.5433734266</v>
      </c>
      <c r="W374" s="15" t="str">
        <f t="shared" si="4"/>
        <v/>
      </c>
      <c r="X374" s="11">
        <f t="shared" si="5"/>
        <v>1372.308</v>
      </c>
      <c r="Y374" s="14">
        <f t="shared" si="6"/>
        <v>-0.432</v>
      </c>
      <c r="Z374" s="25"/>
      <c r="AA374" s="21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</row>
    <row r="375">
      <c r="A375" s="7"/>
      <c r="B375" s="7"/>
      <c r="C375" s="7"/>
      <c r="D375" s="7"/>
      <c r="E375" s="7"/>
      <c r="F375" s="7" t="s">
        <v>22</v>
      </c>
      <c r="G375" s="8">
        <v>1708.0</v>
      </c>
      <c r="H375" s="9">
        <v>39.205585</v>
      </c>
      <c r="I375" s="9">
        <v>-112.8427875</v>
      </c>
      <c r="J375" s="10">
        <v>1376.59</v>
      </c>
      <c r="K375" s="11">
        <v>5697.195</v>
      </c>
      <c r="L375" s="11">
        <v>-10139.922</v>
      </c>
      <c r="M375" s="11">
        <v>-4.077</v>
      </c>
      <c r="N375" s="11">
        <v>5697.19</v>
      </c>
      <c r="O375" s="11">
        <v>-10139.913</v>
      </c>
      <c r="P375" s="11">
        <v>-9.547</v>
      </c>
      <c r="Q375" s="11">
        <v>1390.06</v>
      </c>
      <c r="R375" s="11">
        <v>-19.943</v>
      </c>
      <c r="S375" s="12">
        <v>0.89</v>
      </c>
      <c r="T375" s="13">
        <f t="shared" si="1"/>
        <v>1371.007</v>
      </c>
      <c r="U375" s="14">
        <f t="shared" si="2"/>
        <v>5.583</v>
      </c>
      <c r="V375" s="14">
        <f t="shared" si="3"/>
        <v>1.296800932</v>
      </c>
      <c r="W375" s="15" t="str">
        <f t="shared" si="4"/>
        <v/>
      </c>
      <c r="X375" s="11">
        <f t="shared" si="5"/>
        <v>1372.038</v>
      </c>
      <c r="Y375" s="14">
        <f t="shared" si="6"/>
        <v>-1.031</v>
      </c>
      <c r="Z375" s="25"/>
      <c r="AA375" s="21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</row>
    <row r="376">
      <c r="A376" s="7"/>
      <c r="B376" s="7"/>
      <c r="C376" s="7"/>
      <c r="D376" s="7"/>
      <c r="E376" s="7"/>
      <c r="F376" s="7" t="s">
        <v>22</v>
      </c>
      <c r="G376" s="8">
        <v>1709.0</v>
      </c>
      <c r="H376" s="9">
        <v>39.2163955556</v>
      </c>
      <c r="I376" s="9">
        <v>-112.842651111</v>
      </c>
      <c r="J376" s="10">
        <v>1376.86</v>
      </c>
      <c r="K376" s="11">
        <v>5708.156</v>
      </c>
      <c r="L376" s="11">
        <v>-8939.423</v>
      </c>
      <c r="M376" s="11">
        <v>-2.016</v>
      </c>
      <c r="N376" s="11">
        <v>5708.152</v>
      </c>
      <c r="O376" s="11">
        <v>-8939.417</v>
      </c>
      <c r="P376" s="11">
        <v>-6.836</v>
      </c>
      <c r="Q376" s="11">
        <v>1390.97</v>
      </c>
      <c r="R376" s="11">
        <v>-19.932</v>
      </c>
      <c r="S376" s="12">
        <v>0.89</v>
      </c>
      <c r="T376" s="13">
        <f t="shared" si="1"/>
        <v>1371.928</v>
      </c>
      <c r="U376" s="14">
        <f t="shared" si="2"/>
        <v>4.932</v>
      </c>
      <c r="V376" s="14">
        <f t="shared" si="3"/>
        <v>0.477967366</v>
      </c>
      <c r="W376" s="15" t="str">
        <f t="shared" si="4"/>
        <v/>
      </c>
      <c r="X376" s="11">
        <f t="shared" si="5"/>
        <v>1372.308</v>
      </c>
      <c r="Y376" s="14">
        <f t="shared" si="6"/>
        <v>-0.38</v>
      </c>
      <c r="Z376" s="25"/>
      <c r="AA376" s="21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</row>
    <row r="377">
      <c r="A377" s="7"/>
      <c r="B377" s="7"/>
      <c r="C377" s="7"/>
      <c r="D377" s="7"/>
      <c r="E377" s="7"/>
      <c r="F377" s="7" t="s">
        <v>22</v>
      </c>
      <c r="G377" s="8">
        <v>1710.0</v>
      </c>
      <c r="H377" s="9">
        <v>39.2273238889</v>
      </c>
      <c r="I377" s="9">
        <v>-112.842933056</v>
      </c>
      <c r="J377" s="10">
        <v>1376.31</v>
      </c>
      <c r="K377" s="11">
        <v>5682.915</v>
      </c>
      <c r="L377" s="11">
        <v>-7725.956</v>
      </c>
      <c r="M377" s="11">
        <v>-0.955</v>
      </c>
      <c r="N377" s="11">
        <v>5682.91</v>
      </c>
      <c r="O377" s="11">
        <v>-7725.949</v>
      </c>
      <c r="P377" s="11">
        <v>-6.735</v>
      </c>
      <c r="Q377" s="11">
        <v>1389.45</v>
      </c>
      <c r="R377" s="11">
        <v>-19.923</v>
      </c>
      <c r="S377" s="12">
        <v>0.89</v>
      </c>
      <c r="T377" s="13">
        <f t="shared" si="1"/>
        <v>1370.417</v>
      </c>
      <c r="U377" s="14">
        <f t="shared" si="2"/>
        <v>5.893</v>
      </c>
      <c r="V377" s="14">
        <f t="shared" si="3"/>
        <v>1.686721678</v>
      </c>
      <c r="W377" s="15" t="str">
        <f t="shared" si="4"/>
        <v/>
      </c>
      <c r="X377" s="11">
        <f t="shared" si="5"/>
        <v>1371.758</v>
      </c>
      <c r="Y377" s="14">
        <f t="shared" si="6"/>
        <v>-1.341</v>
      </c>
      <c r="Z377" s="25"/>
      <c r="AA377" s="21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</row>
    <row r="378">
      <c r="A378" s="7"/>
      <c r="B378" s="7"/>
      <c r="C378" s="7"/>
      <c r="D378" s="7"/>
      <c r="E378" s="7"/>
      <c r="F378" s="7" t="s">
        <v>22</v>
      </c>
      <c r="G378" s="8">
        <v>1711.0</v>
      </c>
      <c r="H378" s="9">
        <v>39.2378219444</v>
      </c>
      <c r="I378" s="9">
        <v>-112.842183611</v>
      </c>
      <c r="J378" s="10">
        <v>1376.57</v>
      </c>
      <c r="K378" s="11">
        <v>5746.748</v>
      </c>
      <c r="L378" s="11">
        <v>-6560.171</v>
      </c>
      <c r="M378" s="11">
        <v>0.557</v>
      </c>
      <c r="N378" s="11">
        <v>5746.744</v>
      </c>
      <c r="O378" s="11">
        <v>-6560.166</v>
      </c>
      <c r="P378" s="11">
        <v>-3.753</v>
      </c>
      <c r="Q378" s="11">
        <v>1391.17</v>
      </c>
      <c r="R378" s="11">
        <v>-19.914</v>
      </c>
      <c r="S378" s="12">
        <v>0.89</v>
      </c>
      <c r="T378" s="13">
        <f t="shared" si="1"/>
        <v>1372.146</v>
      </c>
      <c r="U378" s="14">
        <f t="shared" si="2"/>
        <v>4.424</v>
      </c>
      <c r="V378" s="14">
        <f t="shared" si="3"/>
        <v>-0.1609995338</v>
      </c>
      <c r="W378" s="15" t="str">
        <f t="shared" si="4"/>
        <v/>
      </c>
      <c r="X378" s="11">
        <f t="shared" si="5"/>
        <v>1372.018</v>
      </c>
      <c r="Y378" s="14">
        <f t="shared" si="6"/>
        <v>0.128</v>
      </c>
      <c r="Z378" s="25"/>
      <c r="AA378" s="21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</row>
    <row r="379">
      <c r="A379" s="7"/>
      <c r="B379" s="7"/>
      <c r="C379" s="7"/>
      <c r="D379" s="7"/>
      <c r="E379" s="7"/>
      <c r="F379" s="7" t="s">
        <v>22</v>
      </c>
      <c r="G379" s="8">
        <v>1712.0</v>
      </c>
      <c r="H379" s="9">
        <v>39.2488363889</v>
      </c>
      <c r="I379" s="9">
        <v>-112.842583611</v>
      </c>
      <c r="J379" s="10">
        <v>1374.23</v>
      </c>
      <c r="K379" s="11">
        <v>5711.311</v>
      </c>
      <c r="L379" s="11">
        <v>-5337.154</v>
      </c>
      <c r="M379" s="11">
        <v>-0.608</v>
      </c>
      <c r="N379" s="11">
        <v>5711.307</v>
      </c>
      <c r="O379" s="11">
        <v>-5337.151</v>
      </c>
      <c r="P379" s="11">
        <v>-4.658</v>
      </c>
      <c r="Q379" s="11">
        <v>1389.09</v>
      </c>
      <c r="R379" s="11">
        <v>-19.906</v>
      </c>
      <c r="S379" s="12">
        <v>0.89</v>
      </c>
      <c r="T379" s="13">
        <f t="shared" si="1"/>
        <v>1370.074</v>
      </c>
      <c r="U379" s="14">
        <f t="shared" si="2"/>
        <v>4.156</v>
      </c>
      <c r="V379" s="14">
        <f t="shared" si="3"/>
        <v>-0.4980923077</v>
      </c>
      <c r="W379" s="15" t="str">
        <f t="shared" si="4"/>
        <v/>
      </c>
      <c r="X379" s="11">
        <f t="shared" si="5"/>
        <v>1369.678</v>
      </c>
      <c r="Y379" s="14">
        <f t="shared" si="6"/>
        <v>0.396</v>
      </c>
      <c r="Z379" s="25"/>
      <c r="AA379" s="21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</row>
    <row r="380">
      <c r="A380" s="7"/>
      <c r="B380" s="7"/>
      <c r="C380" s="7"/>
      <c r="D380" s="7"/>
      <c r="E380" s="7"/>
      <c r="F380" s="7" t="s">
        <v>22</v>
      </c>
      <c r="G380" s="8">
        <v>1713.0</v>
      </c>
      <c r="H380" s="9">
        <v>39.2607869444</v>
      </c>
      <c r="I380" s="9">
        <v>-112.8408125</v>
      </c>
      <c r="J380" s="10">
        <v>1376.25</v>
      </c>
      <c r="K380" s="11">
        <v>5863.227</v>
      </c>
      <c r="L380" s="11">
        <v>-4009.952</v>
      </c>
      <c r="M380" s="11">
        <v>2.25</v>
      </c>
      <c r="N380" s="11">
        <v>5863.22</v>
      </c>
      <c r="O380" s="11">
        <v>-4009.948</v>
      </c>
      <c r="P380" s="11">
        <v>-4.7</v>
      </c>
      <c r="Q380" s="11">
        <v>1388.2</v>
      </c>
      <c r="R380" s="11">
        <v>-19.897</v>
      </c>
      <c r="S380" s="12">
        <v>0.89</v>
      </c>
      <c r="T380" s="13">
        <f t="shared" si="1"/>
        <v>1369.193</v>
      </c>
      <c r="U380" s="14">
        <f t="shared" si="2"/>
        <v>7.057</v>
      </c>
      <c r="V380" s="14">
        <f t="shared" si="3"/>
        <v>3.150811189</v>
      </c>
      <c r="W380" s="15" t="str">
        <f t="shared" si="4"/>
        <v>✔</v>
      </c>
      <c r="X380" s="11">
        <f t="shared" si="5"/>
        <v>1371.698</v>
      </c>
      <c r="Y380" s="14">
        <f t="shared" si="6"/>
        <v>-2.505</v>
      </c>
      <c r="Z380" s="25"/>
      <c r="AA380" s="21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</row>
    <row r="381">
      <c r="A381" s="7"/>
      <c r="B381" s="7"/>
      <c r="C381" s="7"/>
      <c r="D381" s="7"/>
      <c r="E381" s="7"/>
      <c r="F381" s="7" t="s">
        <v>22</v>
      </c>
      <c r="G381" s="8">
        <v>1714.0</v>
      </c>
      <c r="H381" s="9">
        <v>39.2705005556</v>
      </c>
      <c r="I381" s="9">
        <v>-112.842580833</v>
      </c>
      <c r="J381" s="10">
        <v>1374.23</v>
      </c>
      <c r="K381" s="11">
        <v>5709.812</v>
      </c>
      <c r="L381" s="11">
        <v>-2931.378</v>
      </c>
      <c r="M381" s="11">
        <v>0.957</v>
      </c>
      <c r="N381" s="11">
        <v>5709.808</v>
      </c>
      <c r="O381" s="11">
        <v>-2931.376</v>
      </c>
      <c r="P381" s="11">
        <v>-3.783</v>
      </c>
      <c r="Q381" s="11">
        <v>1388.38</v>
      </c>
      <c r="R381" s="11">
        <v>-19.891</v>
      </c>
      <c r="S381" s="12">
        <v>0.89</v>
      </c>
      <c r="T381" s="13">
        <f t="shared" si="1"/>
        <v>1369.379</v>
      </c>
      <c r="U381" s="14">
        <f t="shared" si="2"/>
        <v>4.851</v>
      </c>
      <c r="V381" s="14">
        <f t="shared" si="3"/>
        <v>0.3760848485</v>
      </c>
      <c r="W381" s="15" t="str">
        <f t="shared" si="4"/>
        <v/>
      </c>
      <c r="X381" s="11">
        <f t="shared" si="5"/>
        <v>1369.678</v>
      </c>
      <c r="Y381" s="14">
        <f t="shared" si="6"/>
        <v>-0.299</v>
      </c>
      <c r="Z381" s="25"/>
      <c r="AA381" s="21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</row>
    <row r="382">
      <c r="A382" s="7"/>
      <c r="B382" s="7"/>
      <c r="C382" s="7"/>
      <c r="D382" s="7"/>
      <c r="E382" s="7"/>
      <c r="F382" s="7" t="s">
        <v>22</v>
      </c>
      <c r="G382" s="8">
        <v>1715.0</v>
      </c>
      <c r="H382" s="9">
        <v>39.2813605556</v>
      </c>
      <c r="I382" s="9">
        <v>-112.842504167</v>
      </c>
      <c r="J382" s="10">
        <v>1375.48</v>
      </c>
      <c r="K382" s="11">
        <v>5715.577</v>
      </c>
      <c r="L382" s="11">
        <v>-1725.428</v>
      </c>
      <c r="M382" s="11">
        <v>2.643</v>
      </c>
      <c r="N382" s="11">
        <v>5715.573</v>
      </c>
      <c r="O382" s="11">
        <v>-1725.427</v>
      </c>
      <c r="P382" s="11">
        <v>-2.237</v>
      </c>
      <c r="Q382" s="11">
        <v>1389.48</v>
      </c>
      <c r="R382" s="11">
        <v>-19.885</v>
      </c>
      <c r="S382" s="12">
        <v>0.89</v>
      </c>
      <c r="T382" s="13">
        <f t="shared" si="1"/>
        <v>1370.485</v>
      </c>
      <c r="U382" s="14">
        <f t="shared" si="2"/>
        <v>4.995</v>
      </c>
      <c r="V382" s="14">
        <f t="shared" si="3"/>
        <v>0.557209324</v>
      </c>
      <c r="W382" s="15" t="str">
        <f t="shared" si="4"/>
        <v/>
      </c>
      <c r="X382" s="11">
        <f t="shared" si="5"/>
        <v>1370.928</v>
      </c>
      <c r="Y382" s="14">
        <f t="shared" si="6"/>
        <v>-0.443</v>
      </c>
      <c r="Z382" s="25"/>
      <c r="AA382" s="21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</row>
    <row r="383">
      <c r="A383" s="7"/>
      <c r="B383" s="7"/>
      <c r="C383" s="7"/>
      <c r="D383" s="7"/>
      <c r="E383" s="7"/>
      <c r="F383" s="7" t="s">
        <v>22</v>
      </c>
      <c r="G383" s="8">
        <v>1716.0</v>
      </c>
      <c r="H383" s="9">
        <v>39.2921208333</v>
      </c>
      <c r="I383" s="9">
        <v>-112.842465833</v>
      </c>
      <c r="J383" s="10">
        <v>1375.3</v>
      </c>
      <c r="K383" s="11">
        <v>5717.981</v>
      </c>
      <c r="L383" s="11">
        <v>-530.582</v>
      </c>
      <c r="M383" s="11">
        <v>2.673</v>
      </c>
      <c r="N383" s="11">
        <v>5717.977</v>
      </c>
      <c r="O383" s="11">
        <v>-530.582</v>
      </c>
      <c r="P383" s="11">
        <v>-2.517</v>
      </c>
      <c r="Q383" s="11">
        <v>1388.99</v>
      </c>
      <c r="R383" s="11">
        <v>-19.878</v>
      </c>
      <c r="S383" s="12">
        <v>0.89</v>
      </c>
      <c r="T383" s="13">
        <f t="shared" si="1"/>
        <v>1370.002</v>
      </c>
      <c r="U383" s="14">
        <f t="shared" si="2"/>
        <v>5.298</v>
      </c>
      <c r="V383" s="14">
        <f t="shared" si="3"/>
        <v>0.9383254079</v>
      </c>
      <c r="W383" s="15" t="str">
        <f t="shared" si="4"/>
        <v/>
      </c>
      <c r="X383" s="11">
        <f t="shared" si="5"/>
        <v>1370.748</v>
      </c>
      <c r="Y383" s="14">
        <f t="shared" si="6"/>
        <v>-0.746</v>
      </c>
      <c r="Z383" s="25"/>
      <c r="AA383" s="21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</row>
    <row r="384">
      <c r="A384" s="7"/>
      <c r="B384" s="7"/>
      <c r="C384" s="7"/>
      <c r="D384" s="7"/>
      <c r="E384" s="7"/>
      <c r="F384" s="7" t="s">
        <v>22</v>
      </c>
      <c r="G384" s="8">
        <v>1717.0</v>
      </c>
      <c r="H384" s="9">
        <v>39.3029380556</v>
      </c>
      <c r="I384" s="9">
        <v>-112.842489444</v>
      </c>
      <c r="J384" s="10">
        <v>1374.93</v>
      </c>
      <c r="K384" s="11">
        <v>5715.117</v>
      </c>
      <c r="L384" s="11">
        <v>670.592</v>
      </c>
      <c r="M384" s="11">
        <v>2.292</v>
      </c>
      <c r="N384" s="11">
        <v>5715.113</v>
      </c>
      <c r="O384" s="11">
        <v>670.591</v>
      </c>
      <c r="P384" s="11">
        <v>-2.168</v>
      </c>
      <c r="Q384" s="11">
        <v>1389.34</v>
      </c>
      <c r="R384" s="11">
        <v>-19.871</v>
      </c>
      <c r="S384" s="12">
        <v>0.89</v>
      </c>
      <c r="T384" s="13">
        <f t="shared" si="1"/>
        <v>1370.359</v>
      </c>
      <c r="U384" s="14">
        <f t="shared" si="2"/>
        <v>4.571</v>
      </c>
      <c r="V384" s="14">
        <f t="shared" si="3"/>
        <v>0.0238983683</v>
      </c>
      <c r="W384" s="15" t="str">
        <f t="shared" si="4"/>
        <v/>
      </c>
      <c r="X384" s="11">
        <f t="shared" si="5"/>
        <v>1370.378</v>
      </c>
      <c r="Y384" s="14">
        <f t="shared" si="6"/>
        <v>-0.019</v>
      </c>
      <c r="Z384" s="25"/>
      <c r="AA384" s="21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</row>
    <row r="385">
      <c r="A385" s="7"/>
      <c r="B385" s="7"/>
      <c r="C385" s="7"/>
      <c r="D385" s="7"/>
      <c r="E385" s="7"/>
      <c r="F385" s="7" t="s">
        <v>22</v>
      </c>
      <c r="G385" s="8">
        <v>1718.0</v>
      </c>
      <c r="H385" s="9">
        <v>39.3137569444</v>
      </c>
      <c r="I385" s="9">
        <v>-112.842451389</v>
      </c>
      <c r="J385" s="10">
        <v>1375.49</v>
      </c>
      <c r="K385" s="11">
        <v>5717.515</v>
      </c>
      <c r="L385" s="11">
        <v>1871.994</v>
      </c>
      <c r="M385" s="11">
        <v>2.61</v>
      </c>
      <c r="N385" s="11">
        <v>5717.512</v>
      </c>
      <c r="O385" s="11">
        <v>1871.993</v>
      </c>
      <c r="P385" s="11">
        <v>-1.03</v>
      </c>
      <c r="Q385" s="11">
        <v>1390.71</v>
      </c>
      <c r="R385" s="11">
        <v>-19.863</v>
      </c>
      <c r="S385" s="12">
        <v>0.89</v>
      </c>
      <c r="T385" s="13">
        <f t="shared" si="1"/>
        <v>1371.737</v>
      </c>
      <c r="U385" s="14">
        <f t="shared" si="2"/>
        <v>3.753</v>
      </c>
      <c r="V385" s="14">
        <f t="shared" si="3"/>
        <v>-1.004989277</v>
      </c>
      <c r="W385" s="15" t="str">
        <f t="shared" si="4"/>
        <v/>
      </c>
      <c r="X385" s="11">
        <f t="shared" si="5"/>
        <v>1370.938</v>
      </c>
      <c r="Y385" s="14">
        <f t="shared" si="6"/>
        <v>0.799</v>
      </c>
      <c r="Z385" s="25"/>
      <c r="AA385" s="21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</row>
    <row r="386">
      <c r="A386" s="7"/>
      <c r="B386" s="7"/>
      <c r="C386" s="7"/>
      <c r="D386" s="7"/>
      <c r="E386" s="7"/>
      <c r="F386" s="7" t="s">
        <v>22</v>
      </c>
      <c r="G386" s="8">
        <v>1719.0</v>
      </c>
      <c r="H386" s="9">
        <v>39.3244511111</v>
      </c>
      <c r="I386" s="9">
        <v>-112.842339722</v>
      </c>
      <c r="J386" s="10">
        <v>1376.31</v>
      </c>
      <c r="K386" s="11">
        <v>5726.219</v>
      </c>
      <c r="L386" s="11">
        <v>3059.522</v>
      </c>
      <c r="M386" s="11">
        <v>2.962</v>
      </c>
      <c r="N386" s="11">
        <v>5726.215</v>
      </c>
      <c r="O386" s="11">
        <v>3059.52</v>
      </c>
      <c r="P386" s="11">
        <v>-1.678</v>
      </c>
      <c r="Q386" s="11">
        <v>1390.52</v>
      </c>
      <c r="R386" s="11">
        <v>-19.853</v>
      </c>
      <c r="S386" s="12">
        <v>0.89</v>
      </c>
      <c r="T386" s="13">
        <f t="shared" si="1"/>
        <v>1371.557</v>
      </c>
      <c r="U386" s="14">
        <f t="shared" si="2"/>
        <v>4.753</v>
      </c>
      <c r="V386" s="14">
        <f t="shared" si="3"/>
        <v>0.2528195804</v>
      </c>
      <c r="W386" s="15" t="str">
        <f t="shared" si="4"/>
        <v/>
      </c>
      <c r="X386" s="11">
        <f t="shared" si="5"/>
        <v>1371.758</v>
      </c>
      <c r="Y386" s="14">
        <f t="shared" si="6"/>
        <v>-0.201</v>
      </c>
      <c r="Z386" s="25"/>
      <c r="AA386" s="21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</row>
    <row r="387">
      <c r="A387" s="7"/>
      <c r="B387" s="7"/>
      <c r="C387" s="7"/>
      <c r="D387" s="7"/>
      <c r="E387" s="7"/>
      <c r="F387" s="7" t="s">
        <v>22</v>
      </c>
      <c r="G387" s="8">
        <v>1720.0</v>
      </c>
      <c r="H387" s="9">
        <v>39.3353872222</v>
      </c>
      <c r="I387" s="9">
        <v>-112.842348056</v>
      </c>
      <c r="J387" s="10">
        <v>1376.14</v>
      </c>
      <c r="K387" s="11">
        <v>5724.637</v>
      </c>
      <c r="L387" s="11">
        <v>4273.918</v>
      </c>
      <c r="M387" s="11">
        <v>2.093</v>
      </c>
      <c r="N387" s="11">
        <v>5724.634</v>
      </c>
      <c r="O387" s="11">
        <v>4273.915</v>
      </c>
      <c r="P387" s="11">
        <v>-1.917</v>
      </c>
      <c r="Q387" s="11">
        <v>1390.97</v>
      </c>
      <c r="R387" s="11">
        <v>-19.84</v>
      </c>
      <c r="S387" s="12">
        <v>0.89</v>
      </c>
      <c r="T387" s="13">
        <f t="shared" si="1"/>
        <v>1372.02</v>
      </c>
      <c r="U387" s="14">
        <f t="shared" si="2"/>
        <v>4.12</v>
      </c>
      <c r="V387" s="14">
        <f t="shared" si="3"/>
        <v>-0.5433734266</v>
      </c>
      <c r="W387" s="15" t="str">
        <f t="shared" si="4"/>
        <v/>
      </c>
      <c r="X387" s="11">
        <f t="shared" si="5"/>
        <v>1371.588</v>
      </c>
      <c r="Y387" s="14">
        <f t="shared" si="6"/>
        <v>0.432</v>
      </c>
      <c r="Z387" s="25"/>
      <c r="AA387" s="21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</row>
    <row r="388">
      <c r="A388" s="7"/>
      <c r="B388" s="7"/>
      <c r="C388" s="7"/>
      <c r="D388" s="7"/>
      <c r="E388" s="7"/>
      <c r="F388" s="7" t="s">
        <v>22</v>
      </c>
      <c r="G388" s="8">
        <v>1721.0</v>
      </c>
      <c r="H388" s="9">
        <v>39.3461702778</v>
      </c>
      <c r="I388" s="9">
        <v>-112.842376667</v>
      </c>
      <c r="J388" s="10">
        <v>1376.48</v>
      </c>
      <c r="K388" s="11">
        <v>5721.258</v>
      </c>
      <c r="L388" s="11">
        <v>5471.325</v>
      </c>
      <c r="M388" s="11">
        <v>1.519</v>
      </c>
      <c r="N388" s="11">
        <v>5721.253</v>
      </c>
      <c r="O388" s="11">
        <v>5471.321</v>
      </c>
      <c r="P388" s="11">
        <v>-3.011</v>
      </c>
      <c r="Q388" s="11">
        <v>1390.77</v>
      </c>
      <c r="R388" s="11">
        <v>-19.825</v>
      </c>
      <c r="S388" s="12">
        <v>0.89</v>
      </c>
      <c r="T388" s="13">
        <f t="shared" si="1"/>
        <v>1371.835</v>
      </c>
      <c r="U388" s="14">
        <f t="shared" si="2"/>
        <v>4.645</v>
      </c>
      <c r="V388" s="14">
        <f t="shared" si="3"/>
        <v>0.1169762238</v>
      </c>
      <c r="W388" s="15" t="str">
        <f t="shared" si="4"/>
        <v/>
      </c>
      <c r="X388" s="11">
        <f t="shared" si="5"/>
        <v>1371.928</v>
      </c>
      <c r="Y388" s="14">
        <f t="shared" si="6"/>
        <v>-0.093</v>
      </c>
      <c r="Z388" s="25"/>
      <c r="AA388" s="21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</row>
    <row r="389">
      <c r="A389" s="7"/>
      <c r="B389" s="7"/>
      <c r="C389" s="7"/>
      <c r="D389" s="7"/>
      <c r="E389" s="7"/>
      <c r="F389" s="7" t="s">
        <v>22</v>
      </c>
      <c r="G389" s="8">
        <v>1722.0</v>
      </c>
      <c r="H389" s="9">
        <v>39.3570105556</v>
      </c>
      <c r="I389" s="9">
        <v>-112.842361667</v>
      </c>
      <c r="J389" s="10">
        <v>1377.6</v>
      </c>
      <c r="K389" s="11">
        <v>5721.668</v>
      </c>
      <c r="L389" s="11">
        <v>6675.178</v>
      </c>
      <c r="M389" s="11">
        <v>1.49</v>
      </c>
      <c r="N389" s="11">
        <v>5721.663</v>
      </c>
      <c r="O389" s="11">
        <v>6675.173</v>
      </c>
      <c r="P389" s="11">
        <v>-3.95</v>
      </c>
      <c r="Q389" s="11">
        <v>1390.97</v>
      </c>
      <c r="R389" s="11">
        <v>-19.807</v>
      </c>
      <c r="S389" s="12">
        <v>0.89</v>
      </c>
      <c r="T389" s="13">
        <f t="shared" si="1"/>
        <v>1372.053</v>
      </c>
      <c r="U389" s="14">
        <f t="shared" si="2"/>
        <v>5.547</v>
      </c>
      <c r="V389" s="14">
        <f t="shared" si="3"/>
        <v>1.251519814</v>
      </c>
      <c r="W389" s="15" t="str">
        <f t="shared" si="4"/>
        <v/>
      </c>
      <c r="X389" s="11">
        <f t="shared" si="5"/>
        <v>1373.048</v>
      </c>
      <c r="Y389" s="14">
        <f t="shared" si="6"/>
        <v>-0.995</v>
      </c>
      <c r="Z389" s="25"/>
      <c r="AA389" s="21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</row>
    <row r="390">
      <c r="A390" s="7"/>
      <c r="B390" s="7"/>
      <c r="C390" s="7"/>
      <c r="D390" s="7"/>
      <c r="E390" s="7"/>
      <c r="F390" s="7" t="s">
        <v>22</v>
      </c>
      <c r="G390" s="8">
        <v>1723.0</v>
      </c>
      <c r="H390" s="9">
        <v>39.3677605556</v>
      </c>
      <c r="I390" s="9">
        <v>-112.842350556</v>
      </c>
      <c r="J390" s="10">
        <v>1378.87</v>
      </c>
      <c r="K390" s="11">
        <v>5721.74</v>
      </c>
      <c r="L390" s="11">
        <v>7868.929</v>
      </c>
      <c r="M390" s="11">
        <v>1.396</v>
      </c>
      <c r="N390" s="11">
        <v>5721.735</v>
      </c>
      <c r="O390" s="11">
        <v>7868.922</v>
      </c>
      <c r="P390" s="11">
        <v>-3.694</v>
      </c>
      <c r="Q390" s="11">
        <v>1392.57</v>
      </c>
      <c r="R390" s="11">
        <v>-19.788</v>
      </c>
      <c r="S390" s="12">
        <v>0.89</v>
      </c>
      <c r="T390" s="13">
        <f t="shared" si="1"/>
        <v>1373.672</v>
      </c>
      <c r="U390" s="14">
        <f t="shared" si="2"/>
        <v>5.198</v>
      </c>
      <c r="V390" s="14">
        <f t="shared" si="3"/>
        <v>0.8125445221</v>
      </c>
      <c r="W390" s="15" t="str">
        <f t="shared" si="4"/>
        <v/>
      </c>
      <c r="X390" s="11">
        <f t="shared" si="5"/>
        <v>1374.318</v>
      </c>
      <c r="Y390" s="14">
        <f t="shared" si="6"/>
        <v>-0.646</v>
      </c>
      <c r="Z390" s="25"/>
      <c r="AA390" s="21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</row>
    <row r="391">
      <c r="A391" s="7"/>
      <c r="B391" s="7"/>
      <c r="C391" s="7"/>
      <c r="D391" s="7"/>
      <c r="E391" s="7"/>
      <c r="F391" s="7" t="s">
        <v>22</v>
      </c>
      <c r="G391" s="8">
        <v>1724.0</v>
      </c>
      <c r="H391" s="9">
        <v>39.3786263889</v>
      </c>
      <c r="I391" s="9">
        <v>-112.842527222</v>
      </c>
      <c r="J391" s="10">
        <v>1383.75</v>
      </c>
      <c r="K391" s="11">
        <v>5705.69</v>
      </c>
      <c r="L391" s="11">
        <v>9075.445</v>
      </c>
      <c r="M391" s="11">
        <v>4.683</v>
      </c>
      <c r="N391" s="11">
        <v>5705.685</v>
      </c>
      <c r="O391" s="11">
        <v>9075.438</v>
      </c>
      <c r="P391" s="11">
        <v>-0.697</v>
      </c>
      <c r="Q391" s="11">
        <v>1397.14</v>
      </c>
      <c r="R391" s="11">
        <v>-19.767</v>
      </c>
      <c r="S391" s="12">
        <v>0.89</v>
      </c>
      <c r="T391" s="13">
        <f t="shared" si="1"/>
        <v>1378.263</v>
      </c>
      <c r="U391" s="14">
        <f t="shared" si="2"/>
        <v>5.487</v>
      </c>
      <c r="V391" s="14">
        <f t="shared" si="3"/>
        <v>1.176051282</v>
      </c>
      <c r="W391" s="15" t="str">
        <f t="shared" si="4"/>
        <v/>
      </c>
      <c r="X391" s="11">
        <f t="shared" si="5"/>
        <v>1379.198</v>
      </c>
      <c r="Y391" s="14">
        <f t="shared" si="6"/>
        <v>-0.935</v>
      </c>
      <c r="Z391" s="25"/>
      <c r="AA391" s="21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</row>
    <row r="392">
      <c r="A392" s="7"/>
      <c r="B392" s="7"/>
      <c r="C392" s="7"/>
      <c r="D392" s="7"/>
      <c r="E392" s="7"/>
      <c r="F392" s="7" t="s">
        <v>22</v>
      </c>
      <c r="G392" s="8">
        <v>1725.0</v>
      </c>
      <c r="H392" s="9">
        <v>39.3893213889</v>
      </c>
      <c r="I392" s="9">
        <v>-112.842253889</v>
      </c>
      <c r="J392" s="10">
        <v>1387.54</v>
      </c>
      <c r="K392" s="11">
        <v>5728.346</v>
      </c>
      <c r="L392" s="11">
        <v>10263.114</v>
      </c>
      <c r="M392" s="11">
        <v>6.648</v>
      </c>
      <c r="N392" s="11">
        <v>5728.342</v>
      </c>
      <c r="O392" s="11">
        <v>10263.107</v>
      </c>
      <c r="P392" s="11">
        <v>1.998</v>
      </c>
      <c r="Q392" s="11">
        <v>1401.63</v>
      </c>
      <c r="R392" s="11">
        <v>-19.745</v>
      </c>
      <c r="S392" s="12">
        <v>0.89</v>
      </c>
      <c r="T392" s="13">
        <f t="shared" si="1"/>
        <v>1382.775</v>
      </c>
      <c r="U392" s="14">
        <f t="shared" si="2"/>
        <v>4.765</v>
      </c>
      <c r="V392" s="14">
        <f t="shared" si="3"/>
        <v>0.2679132867</v>
      </c>
      <c r="W392" s="15" t="str">
        <f t="shared" si="4"/>
        <v/>
      </c>
      <c r="X392" s="11">
        <f t="shared" si="5"/>
        <v>1382.988</v>
      </c>
      <c r="Y392" s="14">
        <f t="shared" si="6"/>
        <v>-0.213</v>
      </c>
      <c r="Z392" s="25"/>
      <c r="AA392" s="21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</row>
    <row r="393">
      <c r="A393" s="7"/>
      <c r="B393" s="7"/>
      <c r="C393" s="7"/>
      <c r="D393" s="7"/>
      <c r="E393" s="7"/>
      <c r="F393" s="7" t="s">
        <v>22</v>
      </c>
      <c r="G393" s="8">
        <v>1726.0</v>
      </c>
      <c r="H393" s="9">
        <v>39.4002294444</v>
      </c>
      <c r="I393" s="9">
        <v>-112.842177778</v>
      </c>
      <c r="J393" s="10">
        <v>1390.75</v>
      </c>
      <c r="K393" s="11">
        <v>5734.005</v>
      </c>
      <c r="L393" s="11">
        <v>11474.426</v>
      </c>
      <c r="M393" s="11">
        <v>7.784</v>
      </c>
      <c r="N393" s="11">
        <v>5734.0</v>
      </c>
      <c r="O393" s="11">
        <v>11474.417</v>
      </c>
      <c r="P393" s="11">
        <v>2.904</v>
      </c>
      <c r="Q393" s="11">
        <v>1404.59</v>
      </c>
      <c r="R393" s="11">
        <v>-19.722</v>
      </c>
      <c r="S393" s="12">
        <v>0.89</v>
      </c>
      <c r="T393" s="13">
        <f t="shared" si="1"/>
        <v>1385.758</v>
      </c>
      <c r="U393" s="14">
        <f t="shared" si="2"/>
        <v>4.992</v>
      </c>
      <c r="V393" s="14">
        <f t="shared" si="3"/>
        <v>0.5534358974</v>
      </c>
      <c r="W393" s="15" t="str">
        <f t="shared" si="4"/>
        <v/>
      </c>
      <c r="X393" s="11">
        <f t="shared" si="5"/>
        <v>1386.198</v>
      </c>
      <c r="Y393" s="14">
        <f t="shared" si="6"/>
        <v>-0.44</v>
      </c>
      <c r="Z393" s="25"/>
      <c r="AA393" s="21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</row>
    <row r="394">
      <c r="A394" s="7"/>
      <c r="B394" s="7"/>
      <c r="C394" s="7"/>
      <c r="D394" s="7"/>
      <c r="E394" s="7"/>
      <c r="F394" s="7" t="s">
        <v>22</v>
      </c>
      <c r="G394" s="8">
        <v>1727.0</v>
      </c>
      <c r="H394" s="9">
        <v>39.4110241667</v>
      </c>
      <c r="I394" s="9">
        <v>-112.842158611</v>
      </c>
      <c r="J394" s="10">
        <v>1392.75</v>
      </c>
      <c r="K394" s="11">
        <v>5734.759</v>
      </c>
      <c r="L394" s="11">
        <v>12673.187</v>
      </c>
      <c r="M394" s="11">
        <v>7.508</v>
      </c>
      <c r="N394" s="11">
        <v>5734.756</v>
      </c>
      <c r="O394" s="11">
        <v>12673.179</v>
      </c>
      <c r="P394" s="11">
        <v>3.848</v>
      </c>
      <c r="Q394" s="11">
        <v>1407.79</v>
      </c>
      <c r="R394" s="11">
        <v>-19.698</v>
      </c>
      <c r="S394" s="12">
        <v>0.89</v>
      </c>
      <c r="T394" s="13">
        <f t="shared" si="1"/>
        <v>1388.982</v>
      </c>
      <c r="U394" s="14">
        <f t="shared" si="2"/>
        <v>3.768</v>
      </c>
      <c r="V394" s="14">
        <f t="shared" si="3"/>
        <v>-0.9861221445</v>
      </c>
      <c r="W394" s="15" t="str">
        <f t="shared" si="4"/>
        <v/>
      </c>
      <c r="X394" s="11">
        <f t="shared" si="5"/>
        <v>1388.198</v>
      </c>
      <c r="Y394" s="14">
        <f t="shared" si="6"/>
        <v>0.784</v>
      </c>
      <c r="Z394" s="25"/>
      <c r="AA394" s="21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</row>
    <row r="395">
      <c r="A395" s="7"/>
      <c r="B395" s="7"/>
      <c r="C395" s="7"/>
      <c r="D395" s="7"/>
      <c r="E395" s="7"/>
      <c r="F395" s="7" t="s">
        <v>22</v>
      </c>
      <c r="G395" s="8">
        <v>1728.0</v>
      </c>
      <c r="H395" s="9">
        <v>39.4218308333</v>
      </c>
      <c r="I395" s="9">
        <v>-112.842206111</v>
      </c>
      <c r="J395" s="10">
        <v>1405.42</v>
      </c>
      <c r="K395" s="11">
        <v>5729.837</v>
      </c>
      <c r="L395" s="11">
        <v>13873.301</v>
      </c>
      <c r="M395" s="11">
        <v>17.679</v>
      </c>
      <c r="N395" s="11">
        <v>5729.833</v>
      </c>
      <c r="O395" s="11">
        <v>13873.29</v>
      </c>
      <c r="P395" s="11">
        <v>12.469</v>
      </c>
      <c r="Q395" s="11">
        <v>1418.88</v>
      </c>
      <c r="R395" s="11">
        <v>-19.673</v>
      </c>
      <c r="S395" s="12">
        <v>0.89</v>
      </c>
      <c r="T395" s="13">
        <f t="shared" si="1"/>
        <v>1400.097</v>
      </c>
      <c r="U395" s="14">
        <f t="shared" si="2"/>
        <v>5.323</v>
      </c>
      <c r="V395" s="14">
        <f t="shared" si="3"/>
        <v>0.9697706294</v>
      </c>
      <c r="W395" s="15" t="str">
        <f t="shared" si="4"/>
        <v/>
      </c>
      <c r="X395" s="11">
        <f t="shared" si="5"/>
        <v>1400.868</v>
      </c>
      <c r="Y395" s="14">
        <f t="shared" si="6"/>
        <v>-0.771</v>
      </c>
      <c r="Z395" s="25"/>
      <c r="AA395" s="21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</row>
    <row r="396">
      <c r="A396" s="7"/>
      <c r="B396" s="7"/>
      <c r="C396" s="7"/>
      <c r="D396" s="7"/>
      <c r="E396" s="7"/>
      <c r="F396" s="7" t="s">
        <v>22</v>
      </c>
      <c r="G396" s="8">
        <v>1801.0</v>
      </c>
      <c r="H396" s="9">
        <v>39.1298813889</v>
      </c>
      <c r="I396" s="9">
        <v>-112.829060833</v>
      </c>
      <c r="J396" s="10">
        <v>1378.97</v>
      </c>
      <c r="K396" s="11">
        <v>6890.507</v>
      </c>
      <c r="L396" s="11">
        <v>-18545.326</v>
      </c>
      <c r="M396" s="11">
        <v>-21.821</v>
      </c>
      <c r="N396" s="11">
        <v>6890.502</v>
      </c>
      <c r="O396" s="11">
        <v>-18545.312</v>
      </c>
      <c r="P396" s="11">
        <v>-26.631</v>
      </c>
      <c r="Q396" s="11">
        <v>1393.16</v>
      </c>
      <c r="R396" s="11">
        <v>-20.001</v>
      </c>
      <c r="S396" s="12">
        <v>0.89</v>
      </c>
      <c r="T396" s="13">
        <f t="shared" si="1"/>
        <v>1374.049</v>
      </c>
      <c r="U396" s="14">
        <f t="shared" si="2"/>
        <v>4.921</v>
      </c>
      <c r="V396" s="14">
        <f t="shared" si="3"/>
        <v>0.4641314685</v>
      </c>
      <c r="W396" s="15" t="str">
        <f t="shared" si="4"/>
        <v/>
      </c>
      <c r="X396" s="11">
        <f t="shared" si="5"/>
        <v>1374.418</v>
      </c>
      <c r="Y396" s="14">
        <f t="shared" si="6"/>
        <v>-0.369</v>
      </c>
      <c r="Z396" s="25"/>
      <c r="AA396" s="21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</row>
    <row r="397">
      <c r="A397" s="7"/>
      <c r="B397" s="7"/>
      <c r="C397" s="7"/>
      <c r="D397" s="7"/>
      <c r="E397" s="7"/>
      <c r="F397" s="7" t="s">
        <v>22</v>
      </c>
      <c r="G397" s="8">
        <v>1802.0</v>
      </c>
      <c r="H397" s="9">
        <v>39.1406875</v>
      </c>
      <c r="I397" s="9">
        <v>-112.829046389</v>
      </c>
      <c r="J397" s="10">
        <v>1377.6</v>
      </c>
      <c r="K397" s="11">
        <v>6890.75</v>
      </c>
      <c r="L397" s="11">
        <v>-17345.294</v>
      </c>
      <c r="M397" s="11">
        <v>-19.806</v>
      </c>
      <c r="N397" s="11">
        <v>6890.744</v>
      </c>
      <c r="O397" s="11">
        <v>-17345.281</v>
      </c>
      <c r="P397" s="11">
        <v>-24.816</v>
      </c>
      <c r="Q397" s="11">
        <v>1391.59</v>
      </c>
      <c r="R397" s="11">
        <v>-19.996</v>
      </c>
      <c r="S397" s="12">
        <v>0.89</v>
      </c>
      <c r="T397" s="13">
        <f t="shared" si="1"/>
        <v>1372.484</v>
      </c>
      <c r="U397" s="14">
        <f t="shared" si="2"/>
        <v>5.116</v>
      </c>
      <c r="V397" s="14">
        <f t="shared" si="3"/>
        <v>0.7094041958</v>
      </c>
      <c r="W397" s="15" t="str">
        <f t="shared" si="4"/>
        <v/>
      </c>
      <c r="X397" s="11">
        <f t="shared" si="5"/>
        <v>1373.048</v>
      </c>
      <c r="Y397" s="14">
        <f t="shared" si="6"/>
        <v>-0.564</v>
      </c>
      <c r="Z397" s="25"/>
      <c r="AA397" s="21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</row>
    <row r="398">
      <c r="A398" s="7"/>
      <c r="B398" s="7"/>
      <c r="C398" s="7"/>
      <c r="D398" s="7"/>
      <c r="E398" s="7"/>
      <c r="F398" s="7" t="s">
        <v>22</v>
      </c>
      <c r="G398" s="8">
        <v>1803.0</v>
      </c>
      <c r="H398" s="9">
        <v>39.1514986111</v>
      </c>
      <c r="I398" s="9">
        <v>-112.829045556</v>
      </c>
      <c r="J398" s="10">
        <v>1376.73</v>
      </c>
      <c r="K398" s="11">
        <v>6889.695</v>
      </c>
      <c r="L398" s="11">
        <v>-16144.818</v>
      </c>
      <c r="M398" s="11">
        <v>-17.516</v>
      </c>
      <c r="N398" s="11">
        <v>6889.69</v>
      </c>
      <c r="O398" s="11">
        <v>-16144.807</v>
      </c>
      <c r="P398" s="11">
        <v>-22.166</v>
      </c>
      <c r="Q398" s="11">
        <v>1391.07</v>
      </c>
      <c r="R398" s="11">
        <v>-19.991</v>
      </c>
      <c r="S398" s="12">
        <v>0.89</v>
      </c>
      <c r="T398" s="13">
        <f t="shared" si="1"/>
        <v>1371.969</v>
      </c>
      <c r="U398" s="14">
        <f t="shared" si="2"/>
        <v>4.761</v>
      </c>
      <c r="V398" s="14">
        <f t="shared" si="3"/>
        <v>0.2628820513</v>
      </c>
      <c r="W398" s="15" t="str">
        <f t="shared" si="4"/>
        <v/>
      </c>
      <c r="X398" s="11">
        <f t="shared" si="5"/>
        <v>1372.178</v>
      </c>
      <c r="Y398" s="14">
        <f t="shared" si="6"/>
        <v>-0.209</v>
      </c>
      <c r="Z398" s="25"/>
      <c r="AA398" s="21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</row>
    <row r="399">
      <c r="A399" s="7"/>
      <c r="B399" s="7"/>
      <c r="C399" s="7"/>
      <c r="D399" s="7"/>
      <c r="E399" s="7"/>
      <c r="F399" s="7" t="s">
        <v>22</v>
      </c>
      <c r="G399" s="8">
        <v>1804.0</v>
      </c>
      <c r="H399" s="9">
        <v>39.1623608333</v>
      </c>
      <c r="I399" s="9">
        <v>-112.829005833</v>
      </c>
      <c r="J399" s="10">
        <v>1373.04</v>
      </c>
      <c r="K399" s="11">
        <v>6892.089</v>
      </c>
      <c r="L399" s="11">
        <v>-14938.667</v>
      </c>
      <c r="M399" s="11">
        <v>-18.262</v>
      </c>
      <c r="N399" s="11">
        <v>6892.084</v>
      </c>
      <c r="O399" s="11">
        <v>-14938.655</v>
      </c>
      <c r="P399" s="11">
        <v>-23.212</v>
      </c>
      <c r="Q399" s="11">
        <v>1387.07</v>
      </c>
      <c r="R399" s="11">
        <v>-19.983</v>
      </c>
      <c r="S399" s="12">
        <v>0.89</v>
      </c>
      <c r="T399" s="13">
        <f t="shared" si="1"/>
        <v>1367.977</v>
      </c>
      <c r="U399" s="14">
        <f t="shared" si="2"/>
        <v>5.063</v>
      </c>
      <c r="V399" s="14">
        <f t="shared" si="3"/>
        <v>0.6427403263</v>
      </c>
      <c r="W399" s="15" t="str">
        <f t="shared" si="4"/>
        <v/>
      </c>
      <c r="X399" s="11">
        <f t="shared" si="5"/>
        <v>1368.488</v>
      </c>
      <c r="Y399" s="14">
        <f t="shared" si="6"/>
        <v>-0.511</v>
      </c>
      <c r="Z399" s="25"/>
      <c r="AA399" s="21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</row>
    <row r="400">
      <c r="A400" s="7"/>
      <c r="B400" s="7"/>
      <c r="C400" s="7"/>
      <c r="D400" s="7"/>
      <c r="E400" s="7"/>
      <c r="F400" s="7" t="s">
        <v>22</v>
      </c>
      <c r="G400" s="8">
        <v>1805.0</v>
      </c>
      <c r="H400" s="9">
        <v>39.1730858333</v>
      </c>
      <c r="I400" s="9">
        <v>-112.828985556</v>
      </c>
      <c r="J400" s="10">
        <v>1375.47</v>
      </c>
      <c r="K400" s="11">
        <v>6892.774</v>
      </c>
      <c r="L400" s="11">
        <v>-13747.742</v>
      </c>
      <c r="M400" s="11">
        <v>-13.148</v>
      </c>
      <c r="N400" s="11">
        <v>6892.768</v>
      </c>
      <c r="O400" s="11">
        <v>-13747.73</v>
      </c>
      <c r="P400" s="11">
        <v>-18.428</v>
      </c>
      <c r="Q400" s="11">
        <v>1389.16</v>
      </c>
      <c r="R400" s="11">
        <v>-19.975</v>
      </c>
      <c r="S400" s="12">
        <v>0.89</v>
      </c>
      <c r="T400" s="13">
        <f t="shared" si="1"/>
        <v>1370.075</v>
      </c>
      <c r="U400" s="14">
        <f t="shared" si="2"/>
        <v>5.395</v>
      </c>
      <c r="V400" s="14">
        <f t="shared" si="3"/>
        <v>1.060332867</v>
      </c>
      <c r="W400" s="15" t="str">
        <f t="shared" si="4"/>
        <v/>
      </c>
      <c r="X400" s="11">
        <f t="shared" si="5"/>
        <v>1370.918</v>
      </c>
      <c r="Y400" s="14">
        <f t="shared" si="6"/>
        <v>-0.843</v>
      </c>
      <c r="Z400" s="25"/>
      <c r="AA400" s="21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</row>
    <row r="401">
      <c r="A401" s="7"/>
      <c r="B401" s="7"/>
      <c r="C401" s="7"/>
      <c r="D401" s="7"/>
      <c r="E401" s="7"/>
      <c r="F401" s="7" t="s">
        <v>22</v>
      </c>
      <c r="G401" s="8">
        <v>1806.0</v>
      </c>
      <c r="H401" s="9">
        <v>39.181425</v>
      </c>
      <c r="I401" s="9">
        <v>-112.8245825</v>
      </c>
      <c r="J401" s="10">
        <v>1373.67</v>
      </c>
      <c r="K401" s="11">
        <v>7272.479</v>
      </c>
      <c r="L401" s="11">
        <v>-12821.409</v>
      </c>
      <c r="M401" s="11">
        <v>-13.435</v>
      </c>
      <c r="N401" s="11">
        <v>7272.474</v>
      </c>
      <c r="O401" s="11">
        <v>-12821.4</v>
      </c>
      <c r="P401" s="11">
        <v>-17.834</v>
      </c>
      <c r="Q401" s="11">
        <v>1388.24</v>
      </c>
      <c r="R401" s="11">
        <v>-19.969</v>
      </c>
      <c r="S401" s="12">
        <v>0.89</v>
      </c>
      <c r="T401" s="13">
        <f t="shared" si="1"/>
        <v>1369.161</v>
      </c>
      <c r="U401" s="14">
        <f t="shared" si="2"/>
        <v>4.509</v>
      </c>
      <c r="V401" s="14">
        <f t="shared" si="3"/>
        <v>-0.05408578089</v>
      </c>
      <c r="W401" s="15" t="str">
        <f t="shared" si="4"/>
        <v/>
      </c>
      <c r="X401" s="11">
        <f t="shared" si="5"/>
        <v>1369.118</v>
      </c>
      <c r="Y401" s="14">
        <f t="shared" si="6"/>
        <v>0.043</v>
      </c>
      <c r="Z401" s="25"/>
      <c r="AA401" s="21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</row>
    <row r="402">
      <c r="A402" s="7"/>
      <c r="B402" s="7"/>
      <c r="C402" s="7"/>
      <c r="D402" s="7"/>
      <c r="E402" s="7"/>
      <c r="F402" s="7" t="s">
        <v>22</v>
      </c>
      <c r="G402" s="8">
        <v>1807.0</v>
      </c>
      <c r="H402" s="9">
        <v>39.1948055556</v>
      </c>
      <c r="I402" s="9">
        <v>-112.828976389</v>
      </c>
      <c r="J402" s="10">
        <v>1376.43</v>
      </c>
      <c r="K402" s="11">
        <v>6891.518</v>
      </c>
      <c r="L402" s="11">
        <v>-11335.894</v>
      </c>
      <c r="M402" s="11">
        <v>-7.432</v>
      </c>
      <c r="N402" s="11">
        <v>6891.513</v>
      </c>
      <c r="O402" s="11">
        <v>-11335.887</v>
      </c>
      <c r="P402" s="11">
        <v>-11.852</v>
      </c>
      <c r="Q402" s="11">
        <v>1390.96</v>
      </c>
      <c r="R402" s="11">
        <v>-19.953</v>
      </c>
      <c r="S402" s="12">
        <v>0.89</v>
      </c>
      <c r="T402" s="13">
        <f t="shared" si="1"/>
        <v>1371.897</v>
      </c>
      <c r="U402" s="14">
        <f t="shared" si="2"/>
        <v>4.533</v>
      </c>
      <c r="V402" s="14">
        <f t="shared" si="3"/>
        <v>-0.0238983683</v>
      </c>
      <c r="W402" s="15" t="str">
        <f t="shared" si="4"/>
        <v/>
      </c>
      <c r="X402" s="11">
        <f t="shared" si="5"/>
        <v>1371.878</v>
      </c>
      <c r="Y402" s="14">
        <f t="shared" si="6"/>
        <v>0.019</v>
      </c>
      <c r="Z402" s="25"/>
      <c r="AA402" s="21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</row>
    <row r="403">
      <c r="A403" s="7"/>
      <c r="B403" s="7"/>
      <c r="C403" s="7"/>
      <c r="D403" s="7"/>
      <c r="E403" s="7"/>
      <c r="F403" s="7" t="s">
        <v>22</v>
      </c>
      <c r="G403" s="8">
        <v>1808.0</v>
      </c>
      <c r="H403" s="9">
        <v>39.2055722222</v>
      </c>
      <c r="I403" s="9">
        <v>-112.828819167</v>
      </c>
      <c r="J403" s="10">
        <v>1375.93</v>
      </c>
      <c r="K403" s="11">
        <v>6904.03</v>
      </c>
      <c r="L403" s="11">
        <v>-10140.391</v>
      </c>
      <c r="M403" s="11">
        <v>-5.928</v>
      </c>
      <c r="N403" s="11">
        <v>6904.024</v>
      </c>
      <c r="O403" s="11">
        <v>-10140.383</v>
      </c>
      <c r="P403" s="11">
        <v>-10.928</v>
      </c>
      <c r="Q403" s="11">
        <v>1389.87</v>
      </c>
      <c r="R403" s="11">
        <v>-19.942</v>
      </c>
      <c r="S403" s="12">
        <v>0.89</v>
      </c>
      <c r="T403" s="13">
        <f t="shared" si="1"/>
        <v>1370.818</v>
      </c>
      <c r="U403" s="14">
        <f t="shared" si="2"/>
        <v>5.112</v>
      </c>
      <c r="V403" s="14">
        <f t="shared" si="3"/>
        <v>0.7043729604</v>
      </c>
      <c r="W403" s="15" t="str">
        <f t="shared" si="4"/>
        <v/>
      </c>
      <c r="X403" s="11">
        <f t="shared" si="5"/>
        <v>1371.378</v>
      </c>
      <c r="Y403" s="14">
        <f t="shared" si="6"/>
        <v>-0.56</v>
      </c>
      <c r="Z403" s="25"/>
      <c r="AA403" s="21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</row>
    <row r="404">
      <c r="A404" s="7"/>
      <c r="B404" s="7"/>
      <c r="C404" s="7"/>
      <c r="D404" s="7"/>
      <c r="E404" s="7"/>
      <c r="F404" s="7" t="s">
        <v>22</v>
      </c>
      <c r="G404" s="8">
        <v>1809.0</v>
      </c>
      <c r="H404" s="9">
        <v>39.2163447222</v>
      </c>
      <c r="I404" s="9">
        <v>-112.828756389</v>
      </c>
      <c r="J404" s="10">
        <v>1375.66</v>
      </c>
      <c r="K404" s="11">
        <v>6908.416</v>
      </c>
      <c r="L404" s="11">
        <v>-8944.116</v>
      </c>
      <c r="M404" s="11">
        <v>-4.408</v>
      </c>
      <c r="N404" s="11">
        <v>6908.412</v>
      </c>
      <c r="O404" s="11">
        <v>-8944.11</v>
      </c>
      <c r="P404" s="11">
        <v>-8.628</v>
      </c>
      <c r="Q404" s="11">
        <v>1390.37</v>
      </c>
      <c r="R404" s="11">
        <v>-19.931</v>
      </c>
      <c r="S404" s="12">
        <v>0.89</v>
      </c>
      <c r="T404" s="13">
        <f t="shared" si="1"/>
        <v>1371.329</v>
      </c>
      <c r="U404" s="14">
        <f t="shared" si="2"/>
        <v>4.331</v>
      </c>
      <c r="V404" s="14">
        <f t="shared" si="3"/>
        <v>-0.2779757576</v>
      </c>
      <c r="W404" s="15" t="str">
        <f t="shared" si="4"/>
        <v/>
      </c>
      <c r="X404" s="11">
        <f t="shared" si="5"/>
        <v>1371.108</v>
      </c>
      <c r="Y404" s="14">
        <f t="shared" si="6"/>
        <v>0.221</v>
      </c>
      <c r="Z404" s="25"/>
      <c r="AA404" s="21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</row>
    <row r="405">
      <c r="A405" s="7"/>
      <c r="B405" s="7"/>
      <c r="C405" s="7"/>
      <c r="D405" s="7"/>
      <c r="E405" s="7"/>
      <c r="F405" s="7" t="s">
        <v>22</v>
      </c>
      <c r="G405" s="8">
        <v>1810.0</v>
      </c>
      <c r="H405" s="9">
        <v>39.2271641667</v>
      </c>
      <c r="I405" s="9">
        <v>-112.828781944</v>
      </c>
      <c r="J405" s="10">
        <v>1377.37</v>
      </c>
      <c r="K405" s="11">
        <v>6905.112</v>
      </c>
      <c r="L405" s="11">
        <v>-7742.74</v>
      </c>
      <c r="M405" s="11">
        <v>-1.119</v>
      </c>
      <c r="N405" s="11">
        <v>6905.107</v>
      </c>
      <c r="O405" s="11">
        <v>-7742.733</v>
      </c>
      <c r="P405" s="11">
        <v>-6.349</v>
      </c>
      <c r="Q405" s="11">
        <v>1391.06</v>
      </c>
      <c r="R405" s="11">
        <v>-19.921</v>
      </c>
      <c r="S405" s="12">
        <v>0.89</v>
      </c>
      <c r="T405" s="13">
        <f t="shared" si="1"/>
        <v>1372.029</v>
      </c>
      <c r="U405" s="14">
        <f t="shared" si="2"/>
        <v>5.341</v>
      </c>
      <c r="V405" s="14">
        <f t="shared" si="3"/>
        <v>0.9924111888</v>
      </c>
      <c r="W405" s="15" t="str">
        <f t="shared" si="4"/>
        <v/>
      </c>
      <c r="X405" s="11">
        <f t="shared" si="5"/>
        <v>1372.818</v>
      </c>
      <c r="Y405" s="14">
        <f t="shared" si="6"/>
        <v>-0.789</v>
      </c>
      <c r="Z405" s="25"/>
      <c r="AA405" s="21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</row>
    <row r="406">
      <c r="A406" s="7"/>
      <c r="B406" s="7"/>
      <c r="C406" s="7"/>
      <c r="D406" s="7"/>
      <c r="E406" s="7"/>
      <c r="F406" s="7" t="s">
        <v>22</v>
      </c>
      <c r="G406" s="8">
        <v>1811.0</v>
      </c>
      <c r="H406" s="9">
        <v>39.2380422222</v>
      </c>
      <c r="I406" s="9">
        <v>-112.828795</v>
      </c>
      <c r="J406" s="10">
        <v>1375.91</v>
      </c>
      <c r="K406" s="11">
        <v>6902.922</v>
      </c>
      <c r="L406" s="11">
        <v>-6534.804</v>
      </c>
      <c r="M406" s="11">
        <v>-1.222</v>
      </c>
      <c r="N406" s="11">
        <v>6902.917</v>
      </c>
      <c r="O406" s="11">
        <v>-6534.799</v>
      </c>
      <c r="P406" s="11">
        <v>-6.042</v>
      </c>
      <c r="Q406" s="11">
        <v>1390.0</v>
      </c>
      <c r="R406" s="11">
        <v>-19.911</v>
      </c>
      <c r="S406" s="12">
        <v>0.89</v>
      </c>
      <c r="T406" s="13">
        <f t="shared" si="1"/>
        <v>1370.979</v>
      </c>
      <c r="U406" s="14">
        <f t="shared" si="2"/>
        <v>4.931</v>
      </c>
      <c r="V406" s="14">
        <f t="shared" si="3"/>
        <v>0.4767095571</v>
      </c>
      <c r="W406" s="15" t="str">
        <f t="shared" si="4"/>
        <v/>
      </c>
      <c r="X406" s="11">
        <f t="shared" si="5"/>
        <v>1371.358</v>
      </c>
      <c r="Y406" s="14">
        <f t="shared" si="6"/>
        <v>-0.379</v>
      </c>
      <c r="Z406" s="25"/>
      <c r="AA406" s="21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</row>
    <row r="407">
      <c r="A407" s="7"/>
      <c r="B407" s="7"/>
      <c r="C407" s="7"/>
      <c r="D407" s="7"/>
      <c r="E407" s="7"/>
      <c r="F407" s="7" t="s">
        <v>22</v>
      </c>
      <c r="G407" s="8">
        <v>1812.0</v>
      </c>
      <c r="H407" s="9">
        <v>39.251255</v>
      </c>
      <c r="I407" s="9">
        <v>-112.831206667</v>
      </c>
      <c r="J407" s="10">
        <v>1376.15</v>
      </c>
      <c r="K407" s="11">
        <v>6693.381</v>
      </c>
      <c r="L407" s="11">
        <v>-5067.76</v>
      </c>
      <c r="M407" s="11">
        <v>0.579</v>
      </c>
      <c r="N407" s="11">
        <v>6693.376</v>
      </c>
      <c r="O407" s="11">
        <v>-5067.756</v>
      </c>
      <c r="P407" s="11">
        <v>-4.271</v>
      </c>
      <c r="Q407" s="11">
        <v>1390.2</v>
      </c>
      <c r="R407" s="11">
        <v>-19.901</v>
      </c>
      <c r="S407" s="12">
        <v>0.89</v>
      </c>
      <c r="T407" s="13">
        <f t="shared" si="1"/>
        <v>1371.189</v>
      </c>
      <c r="U407" s="14">
        <f t="shared" si="2"/>
        <v>4.961</v>
      </c>
      <c r="V407" s="14">
        <f t="shared" si="3"/>
        <v>0.5144438228</v>
      </c>
      <c r="W407" s="15" t="str">
        <f t="shared" si="4"/>
        <v/>
      </c>
      <c r="X407" s="11">
        <f t="shared" si="5"/>
        <v>1371.598</v>
      </c>
      <c r="Y407" s="14">
        <f t="shared" si="6"/>
        <v>-0.409</v>
      </c>
      <c r="Z407" s="25"/>
      <c r="AA407" s="21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</row>
    <row r="408">
      <c r="A408" s="7"/>
      <c r="B408" s="7"/>
      <c r="C408" s="7"/>
      <c r="D408" s="7"/>
      <c r="E408" s="7"/>
      <c r="F408" s="7" t="s">
        <v>22</v>
      </c>
      <c r="G408" s="8">
        <v>1813.0</v>
      </c>
      <c r="H408" s="9">
        <v>39.2599411111</v>
      </c>
      <c r="I408" s="9">
        <v>-112.8286475</v>
      </c>
      <c r="J408" s="10">
        <v>1376.4</v>
      </c>
      <c r="K408" s="11">
        <v>6913.466</v>
      </c>
      <c r="L408" s="11">
        <v>-4103.037</v>
      </c>
      <c r="M408" s="11">
        <v>1.29</v>
      </c>
      <c r="N408" s="11">
        <v>6913.46</v>
      </c>
      <c r="O408" s="11">
        <v>-4103.033</v>
      </c>
      <c r="P408" s="11">
        <v>-4.55</v>
      </c>
      <c r="Q408" s="11">
        <v>1389.45</v>
      </c>
      <c r="R408" s="11">
        <v>-19.894</v>
      </c>
      <c r="S408" s="12">
        <v>0.89</v>
      </c>
      <c r="T408" s="13">
        <f t="shared" si="1"/>
        <v>1370.446</v>
      </c>
      <c r="U408" s="14">
        <f t="shared" si="2"/>
        <v>5.954</v>
      </c>
      <c r="V408" s="14">
        <f t="shared" si="3"/>
        <v>1.763448019</v>
      </c>
      <c r="W408" s="15" t="str">
        <f t="shared" si="4"/>
        <v/>
      </c>
      <c r="X408" s="11">
        <f t="shared" si="5"/>
        <v>1371.848</v>
      </c>
      <c r="Y408" s="14">
        <f t="shared" si="6"/>
        <v>-1.402</v>
      </c>
      <c r="Z408" s="25"/>
      <c r="AA408" s="21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</row>
    <row r="409">
      <c r="A409" s="7"/>
      <c r="B409" s="7"/>
      <c r="C409" s="7"/>
      <c r="D409" s="7"/>
      <c r="E409" s="7"/>
      <c r="F409" s="7" t="s">
        <v>22</v>
      </c>
      <c r="G409" s="8">
        <v>1814.0</v>
      </c>
      <c r="H409" s="9">
        <v>39.2704288889</v>
      </c>
      <c r="I409" s="9">
        <v>-112.828668333</v>
      </c>
      <c r="J409" s="10">
        <v>1375.32</v>
      </c>
      <c r="K409" s="11">
        <v>6910.708</v>
      </c>
      <c r="L409" s="11">
        <v>-2938.403</v>
      </c>
      <c r="M409" s="11">
        <v>0.857</v>
      </c>
      <c r="N409" s="11">
        <v>6910.703</v>
      </c>
      <c r="O409" s="11">
        <v>-2938.401</v>
      </c>
      <c r="P409" s="11">
        <v>-3.883</v>
      </c>
      <c r="Q409" s="11">
        <v>1389.47</v>
      </c>
      <c r="R409" s="11">
        <v>-19.886</v>
      </c>
      <c r="S409" s="12">
        <v>0.89</v>
      </c>
      <c r="T409" s="13">
        <f t="shared" si="1"/>
        <v>1370.474</v>
      </c>
      <c r="U409" s="14">
        <f t="shared" si="2"/>
        <v>4.846</v>
      </c>
      <c r="V409" s="14">
        <f t="shared" si="3"/>
        <v>0.3697958042</v>
      </c>
      <c r="W409" s="15" t="str">
        <f t="shared" si="4"/>
        <v/>
      </c>
      <c r="X409" s="11">
        <f t="shared" si="5"/>
        <v>1370.768</v>
      </c>
      <c r="Y409" s="14">
        <f t="shared" si="6"/>
        <v>-0.294</v>
      </c>
      <c r="Z409" s="25"/>
      <c r="AA409" s="21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</row>
    <row r="410">
      <c r="A410" s="7"/>
      <c r="B410" s="7"/>
      <c r="C410" s="7"/>
      <c r="D410" s="7"/>
      <c r="E410" s="7"/>
      <c r="F410" s="7" t="s">
        <v>22</v>
      </c>
      <c r="G410" s="8">
        <v>1815.0</v>
      </c>
      <c r="H410" s="9">
        <v>39.2813047222</v>
      </c>
      <c r="I410" s="9">
        <v>-112.828583056</v>
      </c>
      <c r="J410" s="10">
        <v>1376.41</v>
      </c>
      <c r="K410" s="11">
        <v>6916.977</v>
      </c>
      <c r="L410" s="11">
        <v>-1730.675</v>
      </c>
      <c r="M410" s="11">
        <v>2.384</v>
      </c>
      <c r="N410" s="11">
        <v>6916.971</v>
      </c>
      <c r="O410" s="11">
        <v>-1730.673</v>
      </c>
      <c r="P410" s="11">
        <v>-3.406</v>
      </c>
      <c r="Q410" s="11">
        <v>1389.5</v>
      </c>
      <c r="R410" s="11">
        <v>-19.878</v>
      </c>
      <c r="S410" s="12">
        <v>0.89</v>
      </c>
      <c r="T410" s="13">
        <f t="shared" si="1"/>
        <v>1370.512</v>
      </c>
      <c r="U410" s="14">
        <f t="shared" si="2"/>
        <v>5.898</v>
      </c>
      <c r="V410" s="14">
        <f t="shared" si="3"/>
        <v>1.693010723</v>
      </c>
      <c r="W410" s="15" t="str">
        <f t="shared" si="4"/>
        <v/>
      </c>
      <c r="X410" s="11">
        <f t="shared" si="5"/>
        <v>1371.858</v>
      </c>
      <c r="Y410" s="14">
        <f t="shared" si="6"/>
        <v>-1.346</v>
      </c>
      <c r="Z410" s="25"/>
      <c r="AA410" s="21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</row>
    <row r="411">
      <c r="A411" s="7"/>
      <c r="B411" s="7"/>
      <c r="C411" s="7"/>
      <c r="D411" s="7"/>
      <c r="E411" s="7"/>
      <c r="F411" s="7" t="s">
        <v>22</v>
      </c>
      <c r="G411" s="8">
        <v>1816.0</v>
      </c>
      <c r="H411" s="9">
        <v>39.2920297222</v>
      </c>
      <c r="I411" s="9">
        <v>-112.828630556</v>
      </c>
      <c r="J411" s="10">
        <v>1376.06</v>
      </c>
      <c r="K411" s="11">
        <v>6911.78</v>
      </c>
      <c r="L411" s="11">
        <v>-539.722</v>
      </c>
      <c r="M411" s="11">
        <v>2.252</v>
      </c>
      <c r="N411" s="11">
        <v>6911.775</v>
      </c>
      <c r="O411" s="11">
        <v>-539.721</v>
      </c>
      <c r="P411" s="11">
        <v>-2.208</v>
      </c>
      <c r="Q411" s="11">
        <v>1390.47</v>
      </c>
      <c r="R411" s="11">
        <v>-19.872</v>
      </c>
      <c r="S411" s="12">
        <v>0.89</v>
      </c>
      <c r="T411" s="13">
        <f t="shared" si="1"/>
        <v>1371.488</v>
      </c>
      <c r="U411" s="14">
        <f t="shared" si="2"/>
        <v>4.572</v>
      </c>
      <c r="V411" s="14">
        <f t="shared" si="3"/>
        <v>0.02515617716</v>
      </c>
      <c r="W411" s="15" t="str">
        <f t="shared" si="4"/>
        <v/>
      </c>
      <c r="X411" s="11">
        <f t="shared" si="5"/>
        <v>1371.508</v>
      </c>
      <c r="Y411" s="14">
        <f t="shared" si="6"/>
        <v>-0.02</v>
      </c>
      <c r="Z411" s="25"/>
      <c r="AA411" s="21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</row>
    <row r="412">
      <c r="A412" s="7"/>
      <c r="B412" s="7"/>
      <c r="C412" s="7"/>
      <c r="D412" s="7"/>
      <c r="E412" s="7"/>
      <c r="F412" s="7" t="s">
        <v>22</v>
      </c>
      <c r="G412" s="8">
        <v>1817.0</v>
      </c>
      <c r="H412" s="9">
        <v>39.3028613889</v>
      </c>
      <c r="I412" s="9">
        <v>-112.828615278</v>
      </c>
      <c r="J412" s="10">
        <v>1376.78</v>
      </c>
      <c r="K412" s="11">
        <v>6912.096</v>
      </c>
      <c r="L412" s="11">
        <v>663.01</v>
      </c>
      <c r="M412" s="11">
        <v>2.96</v>
      </c>
      <c r="N412" s="11">
        <v>6912.092</v>
      </c>
      <c r="O412" s="11">
        <v>663.009</v>
      </c>
      <c r="P412" s="11">
        <v>-0.99</v>
      </c>
      <c r="Q412" s="11">
        <v>1391.69</v>
      </c>
      <c r="R412" s="11">
        <v>-19.864</v>
      </c>
      <c r="S412" s="12">
        <v>0.89</v>
      </c>
      <c r="T412" s="13">
        <f t="shared" si="1"/>
        <v>1372.716</v>
      </c>
      <c r="U412" s="14">
        <f t="shared" si="2"/>
        <v>4.064</v>
      </c>
      <c r="V412" s="14">
        <f t="shared" si="3"/>
        <v>-0.6138107226</v>
      </c>
      <c r="W412" s="15" t="str">
        <f t="shared" si="4"/>
        <v/>
      </c>
      <c r="X412" s="11">
        <f t="shared" si="5"/>
        <v>1372.228</v>
      </c>
      <c r="Y412" s="14">
        <f t="shared" si="6"/>
        <v>0.488</v>
      </c>
      <c r="Z412" s="25"/>
      <c r="AA412" s="21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</row>
    <row r="413">
      <c r="A413" s="7"/>
      <c r="B413" s="7"/>
      <c r="C413" s="7"/>
      <c r="D413" s="7"/>
      <c r="E413" s="7"/>
      <c r="F413" s="7" t="s">
        <v>22</v>
      </c>
      <c r="G413" s="8">
        <v>1818.0</v>
      </c>
      <c r="H413" s="9">
        <v>39.313745</v>
      </c>
      <c r="I413" s="9">
        <v>-112.828503611</v>
      </c>
      <c r="J413" s="10">
        <v>1377.31</v>
      </c>
      <c r="K413" s="11">
        <v>6920.601</v>
      </c>
      <c r="L413" s="11">
        <v>1871.636</v>
      </c>
      <c r="M413" s="11">
        <v>3.24</v>
      </c>
      <c r="N413" s="11">
        <v>6920.596</v>
      </c>
      <c r="O413" s="11">
        <v>1871.635</v>
      </c>
      <c r="P413" s="11">
        <v>-1.62</v>
      </c>
      <c r="Q413" s="11">
        <v>1391.31</v>
      </c>
      <c r="R413" s="11">
        <v>-19.856</v>
      </c>
      <c r="S413" s="12">
        <v>0.89</v>
      </c>
      <c r="T413" s="13">
        <f t="shared" si="1"/>
        <v>1372.344</v>
      </c>
      <c r="U413" s="14">
        <f t="shared" si="2"/>
        <v>4.966</v>
      </c>
      <c r="V413" s="14">
        <f t="shared" si="3"/>
        <v>0.5207328671</v>
      </c>
      <c r="W413" s="15" t="str">
        <f t="shared" si="4"/>
        <v/>
      </c>
      <c r="X413" s="11">
        <f t="shared" si="5"/>
        <v>1372.758</v>
      </c>
      <c r="Y413" s="14">
        <f t="shared" si="6"/>
        <v>-0.414</v>
      </c>
      <c r="Z413" s="25"/>
      <c r="AA413" s="21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</row>
    <row r="414">
      <c r="A414" s="7"/>
      <c r="B414" s="7"/>
      <c r="C414" s="7"/>
      <c r="D414" s="7"/>
      <c r="E414" s="7"/>
      <c r="F414" s="7" t="s">
        <v>22</v>
      </c>
      <c r="G414" s="8">
        <v>1819.0</v>
      </c>
      <c r="H414" s="9">
        <v>39.3245327778</v>
      </c>
      <c r="I414" s="9">
        <v>-112.828491667</v>
      </c>
      <c r="J414" s="10">
        <v>1376.64</v>
      </c>
      <c r="K414" s="11">
        <v>6920.572</v>
      </c>
      <c r="L414" s="11">
        <v>3069.596</v>
      </c>
      <c r="M414" s="11">
        <v>2.105</v>
      </c>
      <c r="N414" s="11">
        <v>6920.568</v>
      </c>
      <c r="O414" s="11">
        <v>3069.594</v>
      </c>
      <c r="P414" s="11">
        <v>-2.155</v>
      </c>
      <c r="Q414" s="11">
        <v>1391.22</v>
      </c>
      <c r="R414" s="11">
        <v>-19.845</v>
      </c>
      <c r="S414" s="12">
        <v>0.89</v>
      </c>
      <c r="T414" s="13">
        <f t="shared" si="1"/>
        <v>1372.265</v>
      </c>
      <c r="U414" s="14">
        <f t="shared" si="2"/>
        <v>4.375</v>
      </c>
      <c r="V414" s="14">
        <f t="shared" si="3"/>
        <v>-0.2226321678</v>
      </c>
      <c r="W414" s="15" t="str">
        <f t="shared" si="4"/>
        <v/>
      </c>
      <c r="X414" s="11">
        <f t="shared" si="5"/>
        <v>1372.088</v>
      </c>
      <c r="Y414" s="14">
        <f t="shared" si="6"/>
        <v>0.177</v>
      </c>
      <c r="Z414" s="25"/>
      <c r="AA414" s="21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</row>
    <row r="415">
      <c r="A415" s="7"/>
      <c r="B415" s="7"/>
      <c r="C415" s="7"/>
      <c r="D415" s="7"/>
      <c r="E415" s="7"/>
      <c r="F415" s="7" t="s">
        <v>22</v>
      </c>
      <c r="G415" s="8">
        <v>1820.0</v>
      </c>
      <c r="H415" s="9">
        <v>39.3353188889</v>
      </c>
      <c r="I415" s="9">
        <v>-112.828496667</v>
      </c>
      <c r="J415" s="10">
        <v>1377.36</v>
      </c>
      <c r="K415" s="11">
        <v>6919.079</v>
      </c>
      <c r="L415" s="11">
        <v>4267.336</v>
      </c>
      <c r="M415" s="11">
        <v>2.136</v>
      </c>
      <c r="N415" s="11">
        <v>6919.074</v>
      </c>
      <c r="O415" s="11">
        <v>4267.333</v>
      </c>
      <c r="P415" s="11">
        <v>-2.284</v>
      </c>
      <c r="Q415" s="11">
        <v>1391.77</v>
      </c>
      <c r="R415" s="11">
        <v>-19.833</v>
      </c>
      <c r="S415" s="12">
        <v>0.89</v>
      </c>
      <c r="T415" s="13">
        <f t="shared" si="1"/>
        <v>1372.827</v>
      </c>
      <c r="U415" s="14">
        <f t="shared" si="2"/>
        <v>4.533</v>
      </c>
      <c r="V415" s="14">
        <f t="shared" si="3"/>
        <v>-0.0238983683</v>
      </c>
      <c r="W415" s="15" t="str">
        <f t="shared" si="4"/>
        <v/>
      </c>
      <c r="X415" s="11">
        <f t="shared" si="5"/>
        <v>1372.808</v>
      </c>
      <c r="Y415" s="14">
        <f t="shared" si="6"/>
        <v>0.019</v>
      </c>
      <c r="Z415" s="25"/>
      <c r="AA415" s="21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</row>
    <row r="416">
      <c r="A416" s="7"/>
      <c r="B416" s="7"/>
      <c r="C416" s="7"/>
      <c r="D416" s="7"/>
      <c r="E416" s="7"/>
      <c r="F416" s="7" t="s">
        <v>22</v>
      </c>
      <c r="G416" s="8">
        <v>1821.0</v>
      </c>
      <c r="H416" s="9">
        <v>39.3470472222</v>
      </c>
      <c r="I416" s="9">
        <v>-112.829495833</v>
      </c>
      <c r="J416" s="10">
        <v>1376.55</v>
      </c>
      <c r="K416" s="11">
        <v>6831.788</v>
      </c>
      <c r="L416" s="11">
        <v>5569.606</v>
      </c>
      <c r="M416" s="11">
        <v>0.413</v>
      </c>
      <c r="N416" s="11">
        <v>6831.783</v>
      </c>
      <c r="O416" s="11">
        <v>5569.602</v>
      </c>
      <c r="P416" s="11">
        <v>-3.987</v>
      </c>
      <c r="Q416" s="11">
        <v>1390.97</v>
      </c>
      <c r="R416" s="11">
        <v>-19.816</v>
      </c>
      <c r="S416" s="12">
        <v>0.89</v>
      </c>
      <c r="T416" s="13">
        <f t="shared" si="1"/>
        <v>1372.044</v>
      </c>
      <c r="U416" s="14">
        <f t="shared" si="2"/>
        <v>4.506</v>
      </c>
      <c r="V416" s="14">
        <f t="shared" si="3"/>
        <v>-0.05785920746</v>
      </c>
      <c r="W416" s="15" t="str">
        <f t="shared" si="4"/>
        <v/>
      </c>
      <c r="X416" s="11">
        <f t="shared" si="5"/>
        <v>1371.998</v>
      </c>
      <c r="Y416" s="14">
        <f t="shared" si="6"/>
        <v>0.046</v>
      </c>
      <c r="Z416" s="25"/>
      <c r="AA416" s="21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</row>
    <row r="417">
      <c r="A417" s="7"/>
      <c r="B417" s="7"/>
      <c r="C417" s="7"/>
      <c r="D417" s="7"/>
      <c r="E417" s="7"/>
      <c r="F417" s="7" t="s">
        <v>22</v>
      </c>
      <c r="G417" s="8">
        <v>1822.0</v>
      </c>
      <c r="H417" s="9">
        <v>39.3564775</v>
      </c>
      <c r="I417" s="9">
        <v>-112.828618611</v>
      </c>
      <c r="J417" s="10">
        <v>1378.1</v>
      </c>
      <c r="K417" s="11">
        <v>6906.476</v>
      </c>
      <c r="L417" s="11">
        <v>6616.95</v>
      </c>
      <c r="M417" s="11">
        <v>0.88</v>
      </c>
      <c r="N417" s="11">
        <v>6906.47</v>
      </c>
      <c r="O417" s="11">
        <v>6616.945</v>
      </c>
      <c r="P417" s="11">
        <v>-4.65</v>
      </c>
      <c r="Q417" s="11">
        <v>1391.37</v>
      </c>
      <c r="R417" s="11">
        <v>-19.801</v>
      </c>
      <c r="S417" s="12">
        <v>0.89</v>
      </c>
      <c r="T417" s="13">
        <f t="shared" si="1"/>
        <v>1372.459</v>
      </c>
      <c r="U417" s="14">
        <f t="shared" si="2"/>
        <v>5.641</v>
      </c>
      <c r="V417" s="14">
        <f t="shared" si="3"/>
        <v>1.369753846</v>
      </c>
      <c r="W417" s="15" t="str">
        <f t="shared" si="4"/>
        <v/>
      </c>
      <c r="X417" s="11">
        <f t="shared" si="5"/>
        <v>1373.548</v>
      </c>
      <c r="Y417" s="14">
        <f t="shared" si="6"/>
        <v>-1.089</v>
      </c>
      <c r="Z417" s="25"/>
      <c r="AA417" s="21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</row>
    <row r="418">
      <c r="A418" s="7"/>
      <c r="B418" s="7"/>
      <c r="C418" s="7"/>
      <c r="D418" s="7"/>
      <c r="E418" s="7"/>
      <c r="F418" s="7" t="s">
        <v>22</v>
      </c>
      <c r="G418" s="8">
        <v>1823.0</v>
      </c>
      <c r="H418" s="9">
        <v>39.3673372222</v>
      </c>
      <c r="I418" s="9">
        <v>-112.828467222</v>
      </c>
      <c r="J418" s="10">
        <v>1376.27</v>
      </c>
      <c r="K418" s="11">
        <v>6918.506</v>
      </c>
      <c r="L418" s="11">
        <v>7822.812</v>
      </c>
      <c r="M418" s="11">
        <v>-2.332</v>
      </c>
      <c r="N418" s="11">
        <v>6918.502</v>
      </c>
      <c r="O418" s="11">
        <v>7822.807</v>
      </c>
      <c r="P418" s="11">
        <v>-6.412</v>
      </c>
      <c r="Q418" s="11">
        <v>1390.97</v>
      </c>
      <c r="R418" s="11">
        <v>-19.782</v>
      </c>
      <c r="S418" s="12">
        <v>0.89</v>
      </c>
      <c r="T418" s="13">
        <f t="shared" si="1"/>
        <v>1372.078</v>
      </c>
      <c r="U418" s="14">
        <f t="shared" si="2"/>
        <v>4.192</v>
      </c>
      <c r="V418" s="14">
        <f t="shared" si="3"/>
        <v>-0.4528111888</v>
      </c>
      <c r="W418" s="15" t="str">
        <f t="shared" si="4"/>
        <v/>
      </c>
      <c r="X418" s="11">
        <f t="shared" si="5"/>
        <v>1371.718</v>
      </c>
      <c r="Y418" s="14">
        <f t="shared" si="6"/>
        <v>0.36</v>
      </c>
      <c r="Z418" s="25"/>
      <c r="AA418" s="21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</row>
    <row r="419">
      <c r="A419" s="7"/>
      <c r="B419" s="7"/>
      <c r="C419" s="7"/>
      <c r="D419" s="7"/>
      <c r="E419" s="7"/>
      <c r="F419" s="7" t="s">
        <v>22</v>
      </c>
      <c r="G419" s="8">
        <v>1824.0</v>
      </c>
      <c r="H419" s="9">
        <v>39.3785088889</v>
      </c>
      <c r="I419" s="9">
        <v>-112.828215278</v>
      </c>
      <c r="J419" s="10">
        <v>1379.34</v>
      </c>
      <c r="K419" s="11">
        <v>6939.125</v>
      </c>
      <c r="L419" s="11">
        <v>9063.447</v>
      </c>
      <c r="M419" s="11">
        <v>-0.93</v>
      </c>
      <c r="N419" s="11">
        <v>6939.12</v>
      </c>
      <c r="O419" s="11">
        <v>9063.44</v>
      </c>
      <c r="P419" s="11">
        <v>-5.42</v>
      </c>
      <c r="Q419" s="11">
        <v>1393.61</v>
      </c>
      <c r="R419" s="11">
        <v>-19.761</v>
      </c>
      <c r="S419" s="12">
        <v>0.89</v>
      </c>
      <c r="T419" s="13">
        <f t="shared" si="1"/>
        <v>1374.739</v>
      </c>
      <c r="U419" s="14">
        <f t="shared" si="2"/>
        <v>4.601</v>
      </c>
      <c r="V419" s="14">
        <f t="shared" si="3"/>
        <v>0.06163263403</v>
      </c>
      <c r="W419" s="15" t="str">
        <f t="shared" si="4"/>
        <v/>
      </c>
      <c r="X419" s="11">
        <f t="shared" si="5"/>
        <v>1374.788</v>
      </c>
      <c r="Y419" s="14">
        <f t="shared" si="6"/>
        <v>-0.049</v>
      </c>
      <c r="Z419" s="25"/>
      <c r="AA419" s="21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</row>
    <row r="420">
      <c r="A420" s="7"/>
      <c r="B420" s="7"/>
      <c r="C420" s="7"/>
      <c r="D420" s="7"/>
      <c r="E420" s="7"/>
      <c r="F420" s="7" t="s">
        <v>22</v>
      </c>
      <c r="G420" s="8">
        <v>1825.0</v>
      </c>
      <c r="H420" s="9">
        <v>39.3895469444</v>
      </c>
      <c r="I420" s="9">
        <v>-112.828295556</v>
      </c>
      <c r="J420" s="10">
        <v>1383.48</v>
      </c>
      <c r="K420" s="11">
        <v>6931.057</v>
      </c>
      <c r="L420" s="11">
        <v>10289.181</v>
      </c>
      <c r="M420" s="11">
        <v>1.354</v>
      </c>
      <c r="N420" s="11">
        <v>6931.052</v>
      </c>
      <c r="O420" s="11">
        <v>10289.173</v>
      </c>
      <c r="P420" s="11">
        <v>-3.336</v>
      </c>
      <c r="Q420" s="11">
        <v>1397.53</v>
      </c>
      <c r="R420" s="11">
        <v>-19.739</v>
      </c>
      <c r="S420" s="12">
        <v>0.89</v>
      </c>
      <c r="T420" s="13">
        <f t="shared" si="1"/>
        <v>1378.681</v>
      </c>
      <c r="U420" s="14">
        <f t="shared" si="2"/>
        <v>4.799</v>
      </c>
      <c r="V420" s="14">
        <f t="shared" si="3"/>
        <v>0.3106787879</v>
      </c>
      <c r="W420" s="15" t="str">
        <f t="shared" si="4"/>
        <v/>
      </c>
      <c r="X420" s="11">
        <f t="shared" si="5"/>
        <v>1378.928</v>
      </c>
      <c r="Y420" s="14">
        <f t="shared" si="6"/>
        <v>-0.247</v>
      </c>
      <c r="Z420" s="25"/>
      <c r="AA420" s="21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</row>
    <row r="421">
      <c r="A421" s="7"/>
      <c r="B421" s="7"/>
      <c r="C421" s="7"/>
      <c r="D421" s="7"/>
      <c r="E421" s="7"/>
      <c r="F421" s="7" t="s">
        <v>22</v>
      </c>
      <c r="G421" s="8">
        <v>1826.0</v>
      </c>
      <c r="H421" s="9">
        <v>39.400275</v>
      </c>
      <c r="I421" s="9">
        <v>-112.828331667</v>
      </c>
      <c r="J421" s="10">
        <v>1390.01</v>
      </c>
      <c r="K421" s="11">
        <v>6926.901</v>
      </c>
      <c r="L421" s="11">
        <v>11480.502</v>
      </c>
      <c r="M421" s="11">
        <v>5.851</v>
      </c>
      <c r="N421" s="11">
        <v>6926.895</v>
      </c>
      <c r="O421" s="11">
        <v>11480.492</v>
      </c>
      <c r="P421" s="11">
        <v>0.591</v>
      </c>
      <c r="Q421" s="11">
        <v>1403.47</v>
      </c>
      <c r="R421" s="11">
        <v>-19.717</v>
      </c>
      <c r="S421" s="12">
        <v>0.89</v>
      </c>
      <c r="T421" s="13">
        <f t="shared" si="1"/>
        <v>1384.643</v>
      </c>
      <c r="U421" s="14">
        <f t="shared" si="2"/>
        <v>5.367</v>
      </c>
      <c r="V421" s="14">
        <f t="shared" si="3"/>
        <v>1.025114219</v>
      </c>
      <c r="W421" s="15" t="str">
        <f t="shared" si="4"/>
        <v/>
      </c>
      <c r="X421" s="11">
        <f t="shared" si="5"/>
        <v>1385.458</v>
      </c>
      <c r="Y421" s="14">
        <f t="shared" si="6"/>
        <v>-0.815</v>
      </c>
      <c r="Z421" s="25"/>
      <c r="AA421" s="21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</row>
    <row r="422">
      <c r="A422" s="7"/>
      <c r="B422" s="7"/>
      <c r="C422" s="7"/>
      <c r="D422" s="7"/>
      <c r="E422" s="7"/>
      <c r="F422" s="7" t="s">
        <v>22</v>
      </c>
      <c r="G422" s="8">
        <v>1827.0</v>
      </c>
      <c r="H422" s="9">
        <v>39.4111375</v>
      </c>
      <c r="I422" s="9">
        <v>-112.828308333</v>
      </c>
      <c r="J422" s="10">
        <v>1386.82</v>
      </c>
      <c r="K422" s="11">
        <v>6927.89</v>
      </c>
      <c r="L422" s="11">
        <v>12686.804</v>
      </c>
      <c r="M422" s="11">
        <v>0.369</v>
      </c>
      <c r="N422" s="11">
        <v>6927.886</v>
      </c>
      <c r="O422" s="11">
        <v>12686.796</v>
      </c>
      <c r="P422" s="11">
        <v>-3.591</v>
      </c>
      <c r="Q422" s="11">
        <v>1401.55</v>
      </c>
      <c r="R422" s="11">
        <v>-19.695</v>
      </c>
      <c r="S422" s="12">
        <v>0.89</v>
      </c>
      <c r="T422" s="13">
        <f t="shared" si="1"/>
        <v>1382.745</v>
      </c>
      <c r="U422" s="14">
        <f t="shared" si="2"/>
        <v>4.075</v>
      </c>
      <c r="V422" s="14">
        <f t="shared" si="3"/>
        <v>-0.5999748252</v>
      </c>
      <c r="W422" s="15" t="str">
        <f t="shared" si="4"/>
        <v/>
      </c>
      <c r="X422" s="11">
        <f t="shared" si="5"/>
        <v>1382.268</v>
      </c>
      <c r="Y422" s="14">
        <f t="shared" si="6"/>
        <v>0.477</v>
      </c>
      <c r="Z422" s="25"/>
      <c r="AA422" s="21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</row>
    <row r="423">
      <c r="A423" s="7"/>
      <c r="B423" s="7"/>
      <c r="C423" s="7"/>
      <c r="D423" s="7"/>
      <c r="E423" s="7"/>
      <c r="F423" s="7" t="s">
        <v>22</v>
      </c>
      <c r="G423" s="8">
        <v>1828.0</v>
      </c>
      <c r="H423" s="9">
        <v>39.4218038889</v>
      </c>
      <c r="I423" s="9">
        <v>-112.828171944</v>
      </c>
      <c r="J423" s="10">
        <v>1385.34</v>
      </c>
      <c r="K423" s="11">
        <v>6938.546</v>
      </c>
      <c r="L423" s="11">
        <v>13871.242</v>
      </c>
      <c r="M423" s="11">
        <v>-3.595</v>
      </c>
      <c r="N423" s="11">
        <v>6938.542</v>
      </c>
      <c r="O423" s="11">
        <v>13871.233</v>
      </c>
      <c r="P423" s="11">
        <v>-7.515</v>
      </c>
      <c r="Q423" s="11">
        <v>1400.09</v>
      </c>
      <c r="R423" s="11">
        <v>-19.673</v>
      </c>
      <c r="S423" s="12">
        <v>0.89</v>
      </c>
      <c r="T423" s="13">
        <f t="shared" si="1"/>
        <v>1381.307</v>
      </c>
      <c r="U423" s="14">
        <f t="shared" si="2"/>
        <v>4.033</v>
      </c>
      <c r="V423" s="14">
        <f t="shared" si="3"/>
        <v>-0.6528027972</v>
      </c>
      <c r="W423" s="15" t="str">
        <f t="shared" si="4"/>
        <v/>
      </c>
      <c r="X423" s="11">
        <f t="shared" si="5"/>
        <v>1380.788</v>
      </c>
      <c r="Y423" s="14">
        <f t="shared" si="6"/>
        <v>0.519</v>
      </c>
      <c r="Z423" s="25"/>
      <c r="AA423" s="21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</row>
    <row r="424">
      <c r="A424" s="7"/>
      <c r="B424" s="7"/>
      <c r="C424" s="7"/>
      <c r="D424" s="7"/>
      <c r="E424" s="7"/>
      <c r="F424" s="7" t="s">
        <v>22</v>
      </c>
      <c r="G424" s="8">
        <v>1902.0</v>
      </c>
      <c r="H424" s="9">
        <v>39.1406747222</v>
      </c>
      <c r="I424" s="9">
        <v>-112.815178333</v>
      </c>
      <c r="J424" s="10">
        <v>1378.9</v>
      </c>
      <c r="K424" s="11">
        <v>8089.962</v>
      </c>
      <c r="L424" s="11">
        <v>-17345.593</v>
      </c>
      <c r="M424" s="11">
        <v>-19.913</v>
      </c>
      <c r="N424" s="11">
        <v>8089.956</v>
      </c>
      <c r="O424" s="11">
        <v>-17345.579</v>
      </c>
      <c r="P424" s="11">
        <v>-25.153</v>
      </c>
      <c r="Q424" s="11">
        <v>1392.66</v>
      </c>
      <c r="R424" s="11">
        <v>-20.004</v>
      </c>
      <c r="S424" s="12">
        <v>0.89</v>
      </c>
      <c r="T424" s="13">
        <f t="shared" si="1"/>
        <v>1373.546</v>
      </c>
      <c r="U424" s="14">
        <f t="shared" si="2"/>
        <v>5.354</v>
      </c>
      <c r="V424" s="14">
        <f t="shared" si="3"/>
        <v>1.008762704</v>
      </c>
      <c r="W424" s="15" t="str">
        <f t="shared" si="4"/>
        <v/>
      </c>
      <c r="X424" s="11">
        <f t="shared" si="5"/>
        <v>1374.348</v>
      </c>
      <c r="Y424" s="14">
        <f t="shared" si="6"/>
        <v>-0.802</v>
      </c>
      <c r="Z424" s="25"/>
      <c r="AA424" s="21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</row>
    <row r="425">
      <c r="A425" s="7"/>
      <c r="B425" s="7"/>
      <c r="C425" s="7"/>
      <c r="D425" s="7"/>
      <c r="E425" s="7"/>
      <c r="F425" s="7" t="s">
        <v>22</v>
      </c>
      <c r="G425" s="8">
        <v>1903.0</v>
      </c>
      <c r="H425" s="9">
        <v>39.1514322222</v>
      </c>
      <c r="I425" s="9">
        <v>-112.815155556</v>
      </c>
      <c r="J425" s="10">
        <v>1378.98</v>
      </c>
      <c r="K425" s="11">
        <v>8090.633</v>
      </c>
      <c r="L425" s="11">
        <v>-16151.114</v>
      </c>
      <c r="M425" s="11">
        <v>-16.69</v>
      </c>
      <c r="N425" s="11">
        <v>8090.625</v>
      </c>
      <c r="O425" s="11">
        <v>-16151.098</v>
      </c>
      <c r="P425" s="11">
        <v>-22.9</v>
      </c>
      <c r="Q425" s="11">
        <v>1391.77</v>
      </c>
      <c r="R425" s="11">
        <v>-19.998</v>
      </c>
      <c r="S425" s="12">
        <v>0.89</v>
      </c>
      <c r="T425" s="13">
        <f t="shared" si="1"/>
        <v>1372.662</v>
      </c>
      <c r="U425" s="14">
        <f t="shared" si="2"/>
        <v>6.318</v>
      </c>
      <c r="V425" s="14">
        <f t="shared" si="3"/>
        <v>2.221290443</v>
      </c>
      <c r="W425" s="15" t="str">
        <f t="shared" si="4"/>
        <v/>
      </c>
      <c r="X425" s="11">
        <f t="shared" si="5"/>
        <v>1374.428</v>
      </c>
      <c r="Y425" s="14">
        <f t="shared" si="6"/>
        <v>-1.766</v>
      </c>
      <c r="Z425" s="25"/>
      <c r="AA425" s="21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</row>
    <row r="426">
      <c r="A426" s="7"/>
      <c r="B426" s="7"/>
      <c r="C426" s="7"/>
      <c r="D426" s="7"/>
      <c r="E426" s="7"/>
      <c r="F426" s="7" t="s">
        <v>22</v>
      </c>
      <c r="G426" s="8">
        <v>1904.0</v>
      </c>
      <c r="H426" s="9">
        <v>39.1622944444</v>
      </c>
      <c r="I426" s="9">
        <v>-112.815124722</v>
      </c>
      <c r="J426" s="10">
        <v>1374.31</v>
      </c>
      <c r="K426" s="11">
        <v>8092.063</v>
      </c>
      <c r="L426" s="11">
        <v>-14944.96</v>
      </c>
      <c r="M426" s="11">
        <v>-18.414</v>
      </c>
      <c r="N426" s="11">
        <v>8092.055</v>
      </c>
      <c r="O426" s="11">
        <v>-14944.946</v>
      </c>
      <c r="P426" s="11">
        <v>-24.664</v>
      </c>
      <c r="Q426" s="11">
        <v>1387.05</v>
      </c>
      <c r="R426" s="11">
        <v>-19.991</v>
      </c>
      <c r="S426" s="12">
        <v>0.89</v>
      </c>
      <c r="T426" s="13">
        <f t="shared" si="1"/>
        <v>1367.949</v>
      </c>
      <c r="U426" s="14">
        <f t="shared" si="2"/>
        <v>6.361</v>
      </c>
      <c r="V426" s="14">
        <f t="shared" si="3"/>
        <v>2.275376224</v>
      </c>
      <c r="W426" s="15" t="str">
        <f t="shared" si="4"/>
        <v/>
      </c>
      <c r="X426" s="11">
        <f t="shared" si="5"/>
        <v>1369.758</v>
      </c>
      <c r="Y426" s="14">
        <f t="shared" si="6"/>
        <v>-1.809</v>
      </c>
      <c r="Z426" s="25"/>
      <c r="AA426" s="21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</row>
    <row r="427">
      <c r="A427" s="7"/>
      <c r="B427" s="7"/>
      <c r="C427" s="7"/>
      <c r="D427" s="7"/>
      <c r="E427" s="7"/>
      <c r="F427" s="7" t="s">
        <v>22</v>
      </c>
      <c r="G427" s="8">
        <v>1905.0</v>
      </c>
      <c r="H427" s="9">
        <v>39.173515</v>
      </c>
      <c r="I427" s="9">
        <v>-112.814516111</v>
      </c>
      <c r="J427" s="10">
        <v>1376.75</v>
      </c>
      <c r="K427" s="11">
        <v>8143.418</v>
      </c>
      <c r="L427" s="11">
        <v>-13698.905</v>
      </c>
      <c r="M427" s="11">
        <v>-13.234</v>
      </c>
      <c r="N427" s="11">
        <v>8143.413</v>
      </c>
      <c r="O427" s="11">
        <v>-13698.896</v>
      </c>
      <c r="P427" s="11">
        <v>-17.364</v>
      </c>
      <c r="Q427" s="11">
        <v>1391.6</v>
      </c>
      <c r="R427" s="11">
        <v>-19.981</v>
      </c>
      <c r="S427" s="12">
        <v>0.89</v>
      </c>
      <c r="T427" s="13">
        <f t="shared" si="1"/>
        <v>1372.509</v>
      </c>
      <c r="U427" s="14">
        <f t="shared" si="2"/>
        <v>4.241</v>
      </c>
      <c r="V427" s="14">
        <f t="shared" si="3"/>
        <v>-0.3911785548</v>
      </c>
      <c r="W427" s="15" t="str">
        <f t="shared" si="4"/>
        <v/>
      </c>
      <c r="X427" s="11">
        <f t="shared" si="5"/>
        <v>1372.198</v>
      </c>
      <c r="Y427" s="14">
        <f t="shared" si="6"/>
        <v>0.311</v>
      </c>
      <c r="Z427" s="25"/>
      <c r="AA427" s="21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</row>
    <row r="428">
      <c r="A428" s="7"/>
      <c r="B428" s="7"/>
      <c r="C428" s="7"/>
      <c r="D428" s="7"/>
      <c r="E428" s="7"/>
      <c r="F428" s="7" t="s">
        <v>22</v>
      </c>
      <c r="G428" s="8">
        <v>1906.0</v>
      </c>
      <c r="H428" s="9">
        <v>39.1838997222</v>
      </c>
      <c r="I428" s="9">
        <v>-112.815018889</v>
      </c>
      <c r="J428" s="10">
        <v>1374.26</v>
      </c>
      <c r="K428" s="11">
        <v>8098.748</v>
      </c>
      <c r="L428" s="11">
        <v>-12545.767</v>
      </c>
      <c r="M428" s="11">
        <v>-13.289</v>
      </c>
      <c r="N428" s="11">
        <v>8098.743</v>
      </c>
      <c r="O428" s="11">
        <v>-12545.76</v>
      </c>
      <c r="P428" s="11">
        <v>-17.089</v>
      </c>
      <c r="Q428" s="11">
        <v>1389.43</v>
      </c>
      <c r="R428" s="11">
        <v>-19.97</v>
      </c>
      <c r="S428" s="12">
        <v>0.89</v>
      </c>
      <c r="T428" s="13">
        <f t="shared" si="1"/>
        <v>1370.35</v>
      </c>
      <c r="U428" s="14">
        <f t="shared" si="2"/>
        <v>3.91</v>
      </c>
      <c r="V428" s="14">
        <f t="shared" si="3"/>
        <v>-0.8075132867</v>
      </c>
      <c r="W428" s="15" t="str">
        <f t="shared" si="4"/>
        <v/>
      </c>
      <c r="X428" s="11">
        <f t="shared" si="5"/>
        <v>1369.708</v>
      </c>
      <c r="Y428" s="14">
        <f t="shared" si="6"/>
        <v>0.642</v>
      </c>
      <c r="Z428" s="25"/>
      <c r="AA428" s="21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</row>
    <row r="429">
      <c r="A429" s="7"/>
      <c r="B429" s="7"/>
      <c r="C429" s="7"/>
      <c r="D429" s="7"/>
      <c r="E429" s="7"/>
      <c r="F429" s="7" t="s">
        <v>22</v>
      </c>
      <c r="G429" s="8">
        <v>1907.0</v>
      </c>
      <c r="H429" s="9">
        <v>39.1947472222</v>
      </c>
      <c r="I429" s="9">
        <v>-112.815017222</v>
      </c>
      <c r="J429" s="10">
        <v>1373.89</v>
      </c>
      <c r="K429" s="11">
        <v>8097.675</v>
      </c>
      <c r="L429" s="11">
        <v>-11341.285</v>
      </c>
      <c r="M429" s="11">
        <v>-11.397</v>
      </c>
      <c r="N429" s="11">
        <v>8097.672</v>
      </c>
      <c r="O429" s="11">
        <v>-11341.28</v>
      </c>
      <c r="P429" s="11">
        <v>-14.027</v>
      </c>
      <c r="Q429" s="11">
        <v>1390.22</v>
      </c>
      <c r="R429" s="11">
        <v>-19.958</v>
      </c>
      <c r="S429" s="12">
        <v>0.89</v>
      </c>
      <c r="T429" s="13">
        <f t="shared" si="1"/>
        <v>1371.152</v>
      </c>
      <c r="U429" s="14">
        <f t="shared" si="2"/>
        <v>2.738</v>
      </c>
      <c r="V429" s="14">
        <f t="shared" si="3"/>
        <v>-2.281665268</v>
      </c>
      <c r="W429" s="15" t="str">
        <f t="shared" si="4"/>
        <v/>
      </c>
      <c r="X429" s="11">
        <f t="shared" si="5"/>
        <v>1369.338</v>
      </c>
      <c r="Y429" s="14">
        <f t="shared" si="6"/>
        <v>1.814</v>
      </c>
      <c r="Z429" s="25"/>
      <c r="AA429" s="21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</row>
    <row r="430">
      <c r="A430" s="7"/>
      <c r="B430" s="7"/>
      <c r="C430" s="7"/>
      <c r="D430" s="7"/>
      <c r="E430" s="7"/>
      <c r="F430" s="7" t="s">
        <v>22</v>
      </c>
      <c r="G430" s="8">
        <v>1908.0</v>
      </c>
      <c r="H430" s="9">
        <v>39.2050022222</v>
      </c>
      <c r="I430" s="9">
        <v>-112.813593889</v>
      </c>
      <c r="J430" s="10">
        <v>1374.68</v>
      </c>
      <c r="K430" s="11">
        <v>8219.438</v>
      </c>
      <c r="L430" s="11">
        <v>-10202.411</v>
      </c>
      <c r="M430" s="11">
        <v>-8.834</v>
      </c>
      <c r="N430" s="11">
        <v>8219.433</v>
      </c>
      <c r="O430" s="11">
        <v>-10202.405</v>
      </c>
      <c r="P430" s="11">
        <v>-13.094</v>
      </c>
      <c r="Q430" s="11">
        <v>1389.37</v>
      </c>
      <c r="R430" s="11">
        <v>-19.946</v>
      </c>
      <c r="S430" s="12">
        <v>0.89</v>
      </c>
      <c r="T430" s="13">
        <f t="shared" si="1"/>
        <v>1370.314</v>
      </c>
      <c r="U430" s="14">
        <f t="shared" si="2"/>
        <v>4.366</v>
      </c>
      <c r="V430" s="14">
        <f t="shared" si="3"/>
        <v>-0.2339524476</v>
      </c>
      <c r="W430" s="15" t="str">
        <f t="shared" si="4"/>
        <v/>
      </c>
      <c r="X430" s="11">
        <f t="shared" si="5"/>
        <v>1370.128</v>
      </c>
      <c r="Y430" s="14">
        <f t="shared" si="6"/>
        <v>0.186</v>
      </c>
      <c r="Z430" s="25"/>
      <c r="AA430" s="21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</row>
    <row r="431">
      <c r="A431" s="7"/>
      <c r="B431" s="7"/>
      <c r="C431" s="7"/>
      <c r="D431" s="7"/>
      <c r="E431" s="7"/>
      <c r="F431" s="7" t="s">
        <v>22</v>
      </c>
      <c r="G431" s="8">
        <v>1909.0</v>
      </c>
      <c r="H431" s="9">
        <v>39.2163936111</v>
      </c>
      <c r="I431" s="9">
        <v>-112.814923611</v>
      </c>
      <c r="J431" s="10">
        <v>1377.35</v>
      </c>
      <c r="K431" s="11">
        <v>8103.228</v>
      </c>
      <c r="L431" s="11">
        <v>-8937.53</v>
      </c>
      <c r="M431" s="11">
        <v>-4.113</v>
      </c>
      <c r="N431" s="11">
        <v>8103.221</v>
      </c>
      <c r="O431" s="11">
        <v>-8937.522</v>
      </c>
      <c r="P431" s="11">
        <v>-9.423</v>
      </c>
      <c r="Q431" s="11">
        <v>1390.97</v>
      </c>
      <c r="R431" s="11">
        <v>-19.934</v>
      </c>
      <c r="S431" s="12">
        <v>0.89</v>
      </c>
      <c r="T431" s="13">
        <f t="shared" si="1"/>
        <v>1371.926</v>
      </c>
      <c r="U431" s="14">
        <f t="shared" si="2"/>
        <v>5.424</v>
      </c>
      <c r="V431" s="14">
        <f t="shared" si="3"/>
        <v>1.096809324</v>
      </c>
      <c r="W431" s="15" t="str">
        <f t="shared" si="4"/>
        <v/>
      </c>
      <c r="X431" s="11">
        <f t="shared" si="5"/>
        <v>1372.798</v>
      </c>
      <c r="Y431" s="14">
        <f t="shared" si="6"/>
        <v>-0.872</v>
      </c>
      <c r="Z431" s="25"/>
      <c r="AA431" s="21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</row>
    <row r="432">
      <c r="A432" s="7"/>
      <c r="B432" s="7"/>
      <c r="C432" s="7"/>
      <c r="D432" s="7"/>
      <c r="E432" s="7"/>
      <c r="F432" s="7" t="s">
        <v>22</v>
      </c>
      <c r="G432" s="8">
        <v>1910.0</v>
      </c>
      <c r="H432" s="9">
        <v>39.2271619444</v>
      </c>
      <c r="I432" s="9">
        <v>-112.814850278</v>
      </c>
      <c r="J432" s="10">
        <v>1378.26</v>
      </c>
      <c r="K432" s="11">
        <v>8108.382</v>
      </c>
      <c r="L432" s="11">
        <v>-7741.807</v>
      </c>
      <c r="M432" s="11">
        <v>-1.642</v>
      </c>
      <c r="N432" s="11">
        <v>8108.374</v>
      </c>
      <c r="O432" s="11">
        <v>-7741.799</v>
      </c>
      <c r="P432" s="11">
        <v>-8.152</v>
      </c>
      <c r="Q432" s="11">
        <v>1390.67</v>
      </c>
      <c r="R432" s="11">
        <v>-19.922</v>
      </c>
      <c r="S432" s="12">
        <v>0.89</v>
      </c>
      <c r="T432" s="13">
        <f t="shared" si="1"/>
        <v>1371.638</v>
      </c>
      <c r="U432" s="14">
        <f t="shared" si="2"/>
        <v>6.622</v>
      </c>
      <c r="V432" s="14">
        <f t="shared" si="3"/>
        <v>2.603664336</v>
      </c>
      <c r="W432" s="15" t="str">
        <f t="shared" si="4"/>
        <v/>
      </c>
      <c r="X432" s="11">
        <f t="shared" si="5"/>
        <v>1373.708</v>
      </c>
      <c r="Y432" s="14">
        <f t="shared" si="6"/>
        <v>-2.07</v>
      </c>
      <c r="Z432" s="25"/>
      <c r="AA432" s="21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</row>
    <row r="433">
      <c r="A433" s="7"/>
      <c r="B433" s="7"/>
      <c r="C433" s="7"/>
      <c r="D433" s="7"/>
      <c r="E433" s="7"/>
      <c r="F433" s="7" t="s">
        <v>22</v>
      </c>
      <c r="G433" s="8">
        <v>1911.0</v>
      </c>
      <c r="H433" s="9">
        <v>39.2380177778</v>
      </c>
      <c r="I433" s="9">
        <v>-112.814892778</v>
      </c>
      <c r="J433" s="10">
        <v>1376.54</v>
      </c>
      <c r="K433" s="11">
        <v>8103.418</v>
      </c>
      <c r="L433" s="11">
        <v>-6536.317</v>
      </c>
      <c r="M433" s="11">
        <v>-2.003</v>
      </c>
      <c r="N433" s="11">
        <v>8103.412</v>
      </c>
      <c r="O433" s="11">
        <v>-6536.312</v>
      </c>
      <c r="P433" s="11">
        <v>-6.303</v>
      </c>
      <c r="Q433" s="11">
        <v>1391.15</v>
      </c>
      <c r="R433" s="11">
        <v>-19.911</v>
      </c>
      <c r="S433" s="12">
        <v>0.89</v>
      </c>
      <c r="T433" s="13">
        <f t="shared" si="1"/>
        <v>1372.129</v>
      </c>
      <c r="U433" s="14">
        <f t="shared" si="2"/>
        <v>4.411</v>
      </c>
      <c r="V433" s="14">
        <f t="shared" si="3"/>
        <v>-0.177351049</v>
      </c>
      <c r="W433" s="15" t="str">
        <f t="shared" si="4"/>
        <v/>
      </c>
      <c r="X433" s="11">
        <f t="shared" si="5"/>
        <v>1371.988</v>
      </c>
      <c r="Y433" s="14">
        <f t="shared" si="6"/>
        <v>0.141</v>
      </c>
      <c r="Z433" s="25"/>
      <c r="AA433" s="21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</row>
    <row r="434">
      <c r="A434" s="7"/>
      <c r="B434" s="7"/>
      <c r="C434" s="7"/>
      <c r="D434" s="7"/>
      <c r="E434" s="7"/>
      <c r="F434" s="7" t="s">
        <v>22</v>
      </c>
      <c r="G434" s="8">
        <v>1912.0</v>
      </c>
      <c r="H434" s="9">
        <v>39.2488094444</v>
      </c>
      <c r="I434" s="9">
        <v>-112.814482778</v>
      </c>
      <c r="J434" s="10">
        <v>1375.03</v>
      </c>
      <c r="K434" s="11">
        <v>8137.574</v>
      </c>
      <c r="L434" s="11">
        <v>-5338.002</v>
      </c>
      <c r="M434" s="11">
        <v>-2.438</v>
      </c>
      <c r="N434" s="11">
        <v>8137.57</v>
      </c>
      <c r="O434" s="11">
        <v>-5338.0</v>
      </c>
      <c r="P434" s="11">
        <v>-5.588</v>
      </c>
      <c r="Q434" s="11">
        <v>1390.78</v>
      </c>
      <c r="R434" s="11">
        <v>-19.901</v>
      </c>
      <c r="S434" s="12">
        <v>0.89</v>
      </c>
      <c r="T434" s="13">
        <f t="shared" si="1"/>
        <v>1371.769</v>
      </c>
      <c r="U434" s="14">
        <f t="shared" si="2"/>
        <v>3.261</v>
      </c>
      <c r="V434" s="14">
        <f t="shared" si="3"/>
        <v>-1.623831235</v>
      </c>
      <c r="W434" s="15" t="str">
        <f t="shared" si="4"/>
        <v/>
      </c>
      <c r="X434" s="11">
        <f t="shared" si="5"/>
        <v>1370.478</v>
      </c>
      <c r="Y434" s="14">
        <f t="shared" si="6"/>
        <v>1.291</v>
      </c>
      <c r="Z434" s="25"/>
      <c r="AA434" s="21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</row>
    <row r="435">
      <c r="A435" s="7"/>
      <c r="B435" s="7"/>
      <c r="C435" s="7"/>
      <c r="D435" s="7"/>
      <c r="E435" s="7"/>
      <c r="F435" s="7" t="s">
        <v>22</v>
      </c>
      <c r="G435" s="8">
        <v>1913.0</v>
      </c>
      <c r="H435" s="9">
        <v>39.2596352778</v>
      </c>
      <c r="I435" s="9">
        <v>-112.814755</v>
      </c>
      <c r="J435" s="10">
        <v>1375.39</v>
      </c>
      <c r="K435" s="11">
        <v>8112.842</v>
      </c>
      <c r="L435" s="11">
        <v>-4135.862</v>
      </c>
      <c r="M435" s="11">
        <v>-1.152</v>
      </c>
      <c r="N435" s="11">
        <v>8112.837</v>
      </c>
      <c r="O435" s="11">
        <v>-4135.86</v>
      </c>
      <c r="P435" s="11">
        <v>-4.722</v>
      </c>
      <c r="Q435" s="11">
        <v>1390.71</v>
      </c>
      <c r="R435" s="11">
        <v>-19.892</v>
      </c>
      <c r="S435" s="12">
        <v>0.89</v>
      </c>
      <c r="T435" s="13">
        <f t="shared" si="1"/>
        <v>1371.708</v>
      </c>
      <c r="U435" s="14">
        <f t="shared" si="2"/>
        <v>3.682</v>
      </c>
      <c r="V435" s="14">
        <f t="shared" si="3"/>
        <v>-1.094293706</v>
      </c>
      <c r="W435" s="15" t="str">
        <f t="shared" si="4"/>
        <v/>
      </c>
      <c r="X435" s="11">
        <f t="shared" si="5"/>
        <v>1370.838</v>
      </c>
      <c r="Y435" s="14">
        <f t="shared" si="6"/>
        <v>0.87</v>
      </c>
      <c r="Z435" s="25"/>
      <c r="AA435" s="21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</row>
    <row r="436">
      <c r="A436" s="7"/>
      <c r="B436" s="7"/>
      <c r="C436" s="7"/>
      <c r="D436" s="7"/>
      <c r="E436" s="7"/>
      <c r="F436" s="7" t="s">
        <v>22</v>
      </c>
      <c r="G436" s="8">
        <v>1914.0</v>
      </c>
      <c r="H436" s="9">
        <v>39.2707336111</v>
      </c>
      <c r="I436" s="9">
        <v>-112.814890278</v>
      </c>
      <c r="J436" s="10">
        <v>1375.55</v>
      </c>
      <c r="K436" s="11">
        <v>8099.91</v>
      </c>
      <c r="L436" s="11">
        <v>-2903.392</v>
      </c>
      <c r="M436" s="11">
        <v>-0.294</v>
      </c>
      <c r="N436" s="11">
        <v>8099.904</v>
      </c>
      <c r="O436" s="11">
        <v>-2903.389</v>
      </c>
      <c r="P436" s="11">
        <v>-5.254</v>
      </c>
      <c r="Q436" s="11">
        <v>1389.47</v>
      </c>
      <c r="R436" s="11">
        <v>-19.883</v>
      </c>
      <c r="S436" s="12">
        <v>0.89</v>
      </c>
      <c r="T436" s="13">
        <f t="shared" si="1"/>
        <v>1370.477</v>
      </c>
      <c r="U436" s="14">
        <f t="shared" si="2"/>
        <v>5.073</v>
      </c>
      <c r="V436" s="14">
        <f t="shared" si="3"/>
        <v>0.6553184149</v>
      </c>
      <c r="W436" s="15" t="str">
        <f t="shared" si="4"/>
        <v/>
      </c>
      <c r="X436" s="11">
        <f t="shared" si="5"/>
        <v>1370.998</v>
      </c>
      <c r="Y436" s="14">
        <f t="shared" si="6"/>
        <v>-0.521</v>
      </c>
      <c r="Z436" s="25"/>
      <c r="AA436" s="21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</row>
    <row r="437">
      <c r="A437" s="7"/>
      <c r="B437" s="7"/>
      <c r="C437" s="7"/>
      <c r="D437" s="7"/>
      <c r="E437" s="7"/>
      <c r="F437" s="7" t="s">
        <v>22</v>
      </c>
      <c r="G437" s="8">
        <v>1915.0</v>
      </c>
      <c r="H437" s="9">
        <v>39.2812416667</v>
      </c>
      <c r="I437" s="9">
        <v>-112.814766111</v>
      </c>
      <c r="J437" s="10">
        <v>1376.18</v>
      </c>
      <c r="K437" s="11">
        <v>8109.402</v>
      </c>
      <c r="L437" s="11">
        <v>-1736.523</v>
      </c>
      <c r="M437" s="11">
        <v>0.75</v>
      </c>
      <c r="N437" s="11">
        <v>8109.397</v>
      </c>
      <c r="O437" s="11">
        <v>-1736.522</v>
      </c>
      <c r="P437" s="11">
        <v>-3.33</v>
      </c>
      <c r="Q437" s="11">
        <v>1390.97</v>
      </c>
      <c r="R437" s="11">
        <v>-19.875</v>
      </c>
      <c r="S437" s="12">
        <v>0.89</v>
      </c>
      <c r="T437" s="13">
        <f t="shared" si="1"/>
        <v>1371.985</v>
      </c>
      <c r="U437" s="14">
        <f t="shared" si="2"/>
        <v>4.195</v>
      </c>
      <c r="V437" s="14">
        <f t="shared" si="3"/>
        <v>-0.4490377622</v>
      </c>
      <c r="W437" s="15" t="str">
        <f t="shared" si="4"/>
        <v/>
      </c>
      <c r="X437" s="11">
        <f t="shared" si="5"/>
        <v>1371.628</v>
      </c>
      <c r="Y437" s="14">
        <f t="shared" si="6"/>
        <v>0.357</v>
      </c>
      <c r="Z437" s="25"/>
      <c r="AA437" s="21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</row>
    <row r="438">
      <c r="A438" s="7"/>
      <c r="B438" s="7"/>
      <c r="C438" s="7"/>
      <c r="D438" s="7"/>
      <c r="E438" s="7"/>
      <c r="F438" s="7" t="s">
        <v>22</v>
      </c>
      <c r="G438" s="8">
        <v>1916.0</v>
      </c>
      <c r="H438" s="9">
        <v>39.2920155556</v>
      </c>
      <c r="I438" s="9">
        <v>-112.814773333</v>
      </c>
      <c r="J438" s="10">
        <v>1375.35</v>
      </c>
      <c r="K438" s="11">
        <v>8107.555</v>
      </c>
      <c r="L438" s="11">
        <v>-540.126</v>
      </c>
      <c r="M438" s="11">
        <v>0.136</v>
      </c>
      <c r="N438" s="11">
        <v>8107.55</v>
      </c>
      <c r="O438" s="11">
        <v>-540.125</v>
      </c>
      <c r="P438" s="11">
        <v>-3.704</v>
      </c>
      <c r="Q438" s="11">
        <v>1390.38</v>
      </c>
      <c r="R438" s="11">
        <v>-19.867</v>
      </c>
      <c r="S438" s="12">
        <v>0.89</v>
      </c>
      <c r="T438" s="13">
        <f t="shared" si="1"/>
        <v>1371.403</v>
      </c>
      <c r="U438" s="14">
        <f t="shared" si="2"/>
        <v>3.947</v>
      </c>
      <c r="V438" s="14">
        <f t="shared" si="3"/>
        <v>-0.760974359</v>
      </c>
      <c r="W438" s="15" t="str">
        <f t="shared" si="4"/>
        <v/>
      </c>
      <c r="X438" s="11">
        <f t="shared" si="5"/>
        <v>1370.798</v>
      </c>
      <c r="Y438" s="14">
        <f t="shared" si="6"/>
        <v>0.605</v>
      </c>
      <c r="Z438" s="25"/>
      <c r="AA438" s="21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</row>
    <row r="439">
      <c r="A439" s="7"/>
      <c r="B439" s="7"/>
      <c r="C439" s="7"/>
      <c r="D439" s="7"/>
      <c r="E439" s="7"/>
      <c r="F439" s="7" t="s">
        <v>22</v>
      </c>
      <c r="G439" s="8">
        <v>1917.0</v>
      </c>
      <c r="H439" s="9">
        <v>39.3026961111</v>
      </c>
      <c r="I439" s="9">
        <v>-112.814688889</v>
      </c>
      <c r="J439" s="10">
        <v>1376.93</v>
      </c>
      <c r="K439" s="11">
        <v>8113.572</v>
      </c>
      <c r="L439" s="11">
        <v>645.844</v>
      </c>
      <c r="M439" s="11">
        <v>1.699</v>
      </c>
      <c r="N439" s="11">
        <v>8113.566</v>
      </c>
      <c r="O439" s="11">
        <v>645.843</v>
      </c>
      <c r="P439" s="11">
        <v>-3.121</v>
      </c>
      <c r="Q439" s="11">
        <v>1390.97</v>
      </c>
      <c r="R439" s="11">
        <v>-19.86</v>
      </c>
      <c r="S439" s="12">
        <v>0.89</v>
      </c>
      <c r="T439" s="13">
        <f t="shared" si="1"/>
        <v>1372</v>
      </c>
      <c r="U439" s="14">
        <f t="shared" si="2"/>
        <v>4.93</v>
      </c>
      <c r="V439" s="14">
        <f t="shared" si="3"/>
        <v>0.4754517483</v>
      </c>
      <c r="W439" s="15" t="str">
        <f t="shared" si="4"/>
        <v/>
      </c>
      <c r="X439" s="11">
        <f t="shared" si="5"/>
        <v>1372.378</v>
      </c>
      <c r="Y439" s="14">
        <f t="shared" si="6"/>
        <v>-0.378</v>
      </c>
      <c r="Z439" s="25"/>
      <c r="AA439" s="21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</row>
    <row r="440">
      <c r="A440" s="7"/>
      <c r="B440" s="7"/>
      <c r="C440" s="7"/>
      <c r="D440" s="7"/>
      <c r="E440" s="7"/>
      <c r="F440" s="7" t="s">
        <v>22</v>
      </c>
      <c r="G440" s="8">
        <v>1918.0</v>
      </c>
      <c r="H440" s="9">
        <v>39.3136536111</v>
      </c>
      <c r="I440" s="9">
        <v>-112.814607222</v>
      </c>
      <c r="J440" s="10">
        <v>1376.93</v>
      </c>
      <c r="K440" s="11">
        <v>8119.38</v>
      </c>
      <c r="L440" s="11">
        <v>1862.686</v>
      </c>
      <c r="M440" s="11">
        <v>1.451</v>
      </c>
      <c r="N440" s="11">
        <v>8119.375</v>
      </c>
      <c r="O440" s="11">
        <v>1862.685</v>
      </c>
      <c r="P440" s="11">
        <v>-2.459</v>
      </c>
      <c r="Q440" s="11">
        <v>1391.87</v>
      </c>
      <c r="R440" s="11">
        <v>-19.85</v>
      </c>
      <c r="S440" s="12">
        <v>0.89</v>
      </c>
      <c r="T440" s="13">
        <f t="shared" si="1"/>
        <v>1372.91</v>
      </c>
      <c r="U440" s="14">
        <f t="shared" si="2"/>
        <v>4.02</v>
      </c>
      <c r="V440" s="14">
        <f t="shared" si="3"/>
        <v>-0.6691543124</v>
      </c>
      <c r="W440" s="15" t="str">
        <f t="shared" si="4"/>
        <v/>
      </c>
      <c r="X440" s="11">
        <f t="shared" si="5"/>
        <v>1372.378</v>
      </c>
      <c r="Y440" s="14">
        <f t="shared" si="6"/>
        <v>0.532</v>
      </c>
      <c r="Z440" s="25"/>
      <c r="AA440" s="21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</row>
    <row r="441">
      <c r="A441" s="7"/>
      <c r="B441" s="7"/>
      <c r="C441" s="7"/>
      <c r="D441" s="7"/>
      <c r="E441" s="7"/>
      <c r="F441" s="7" t="s">
        <v>22</v>
      </c>
      <c r="G441" s="8">
        <v>1919.0</v>
      </c>
      <c r="H441" s="9">
        <v>39.3244930556</v>
      </c>
      <c r="I441" s="9">
        <v>-112.814695</v>
      </c>
      <c r="J441" s="10">
        <v>1377.29</v>
      </c>
      <c r="K441" s="11">
        <v>8110.538</v>
      </c>
      <c r="L441" s="11">
        <v>3066.301</v>
      </c>
      <c r="M441" s="11">
        <v>1.356</v>
      </c>
      <c r="N441" s="11">
        <v>8110.532</v>
      </c>
      <c r="O441" s="11">
        <v>3066.298</v>
      </c>
      <c r="P441" s="11">
        <v>-3.534</v>
      </c>
      <c r="Q441" s="11">
        <v>1391.24</v>
      </c>
      <c r="R441" s="11">
        <v>-19.839</v>
      </c>
      <c r="S441" s="12">
        <v>0.89</v>
      </c>
      <c r="T441" s="13">
        <f t="shared" si="1"/>
        <v>1372.291</v>
      </c>
      <c r="U441" s="14">
        <f t="shared" si="2"/>
        <v>4.999</v>
      </c>
      <c r="V441" s="14">
        <f t="shared" si="3"/>
        <v>0.5622405594</v>
      </c>
      <c r="W441" s="15" t="str">
        <f t="shared" si="4"/>
        <v/>
      </c>
      <c r="X441" s="11">
        <f t="shared" si="5"/>
        <v>1372.738</v>
      </c>
      <c r="Y441" s="14">
        <f t="shared" si="6"/>
        <v>-0.447</v>
      </c>
      <c r="Z441" s="25"/>
      <c r="AA441" s="21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</row>
    <row r="442">
      <c r="A442" s="7"/>
      <c r="B442" s="7"/>
      <c r="C442" s="7"/>
      <c r="D442" s="7"/>
      <c r="E442" s="7"/>
      <c r="F442" s="7" t="s">
        <v>22</v>
      </c>
      <c r="G442" s="8">
        <v>1920.0</v>
      </c>
      <c r="H442" s="9">
        <v>39.3349897222</v>
      </c>
      <c r="I442" s="9">
        <v>-112.814675833</v>
      </c>
      <c r="J442" s="10">
        <v>1377.62</v>
      </c>
      <c r="K442" s="11">
        <v>8110.965</v>
      </c>
      <c r="L442" s="11">
        <v>4231.95</v>
      </c>
      <c r="M442" s="11">
        <v>1.017</v>
      </c>
      <c r="N442" s="11">
        <v>8110.958</v>
      </c>
      <c r="O442" s="11">
        <v>4231.947</v>
      </c>
      <c r="P442" s="11">
        <v>-3.763</v>
      </c>
      <c r="Q442" s="11">
        <v>1391.67</v>
      </c>
      <c r="R442" s="11">
        <v>-19.827</v>
      </c>
      <c r="S442" s="12">
        <v>0.89</v>
      </c>
      <c r="T442" s="13">
        <f t="shared" si="1"/>
        <v>1372.733</v>
      </c>
      <c r="U442" s="14">
        <f t="shared" si="2"/>
        <v>4.887</v>
      </c>
      <c r="V442" s="14">
        <f t="shared" si="3"/>
        <v>0.4213659674</v>
      </c>
      <c r="W442" s="15" t="str">
        <f t="shared" si="4"/>
        <v/>
      </c>
      <c r="X442" s="11">
        <f t="shared" si="5"/>
        <v>1373.068</v>
      </c>
      <c r="Y442" s="14">
        <f t="shared" si="6"/>
        <v>-0.335</v>
      </c>
      <c r="Z442" s="25"/>
      <c r="AA442" s="21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</row>
    <row r="443">
      <c r="A443" s="7"/>
      <c r="B443" s="7"/>
      <c r="C443" s="7"/>
      <c r="D443" s="7"/>
      <c r="E443" s="7"/>
      <c r="F443" s="7" t="s">
        <v>22</v>
      </c>
      <c r="G443" s="8">
        <v>1921.0</v>
      </c>
      <c r="H443" s="9">
        <v>39.3461394444</v>
      </c>
      <c r="I443" s="9">
        <v>-112.814493611</v>
      </c>
      <c r="J443" s="10">
        <v>1377.94</v>
      </c>
      <c r="K443" s="11">
        <v>8125.369</v>
      </c>
      <c r="L443" s="11">
        <v>5470.018</v>
      </c>
      <c r="M443" s="11">
        <v>0.375</v>
      </c>
      <c r="N443" s="11">
        <v>8125.364</v>
      </c>
      <c r="O443" s="11">
        <v>5470.014</v>
      </c>
      <c r="P443" s="11">
        <v>-3.645</v>
      </c>
      <c r="Q443" s="11">
        <v>1392.73</v>
      </c>
      <c r="R443" s="11">
        <v>-19.811</v>
      </c>
      <c r="S443" s="12">
        <v>0.89</v>
      </c>
      <c r="T443" s="13">
        <f t="shared" si="1"/>
        <v>1373.809</v>
      </c>
      <c r="U443" s="14">
        <f t="shared" si="2"/>
        <v>4.131</v>
      </c>
      <c r="V443" s="14">
        <f t="shared" si="3"/>
        <v>-0.5295375291</v>
      </c>
      <c r="W443" s="15" t="str">
        <f t="shared" si="4"/>
        <v/>
      </c>
      <c r="X443" s="11">
        <f t="shared" si="5"/>
        <v>1373.388</v>
      </c>
      <c r="Y443" s="14">
        <f t="shared" si="6"/>
        <v>0.421</v>
      </c>
      <c r="Z443" s="25"/>
      <c r="AA443" s="21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</row>
    <row r="444">
      <c r="A444" s="7"/>
      <c r="B444" s="7"/>
      <c r="C444" s="7"/>
      <c r="D444" s="7"/>
      <c r="E444" s="7"/>
      <c r="F444" s="7" t="s">
        <v>22</v>
      </c>
      <c r="G444" s="8">
        <v>1922.0</v>
      </c>
      <c r="H444" s="9">
        <v>39.3565736111</v>
      </c>
      <c r="I444" s="9">
        <v>-112.814382222</v>
      </c>
      <c r="J444" s="10">
        <v>1376.92</v>
      </c>
      <c r="K444" s="11">
        <v>8133.814</v>
      </c>
      <c r="L444" s="11">
        <v>6628.793</v>
      </c>
      <c r="M444" s="11">
        <v>-1.757</v>
      </c>
      <c r="N444" s="11">
        <v>8133.809</v>
      </c>
      <c r="O444" s="11">
        <v>6628.789</v>
      </c>
      <c r="P444" s="11">
        <v>-5.997</v>
      </c>
      <c r="Q444" s="11">
        <v>1391.47</v>
      </c>
      <c r="R444" s="11">
        <v>-19.794</v>
      </c>
      <c r="S444" s="12">
        <v>0.89</v>
      </c>
      <c r="T444" s="13">
        <f t="shared" si="1"/>
        <v>1372.566</v>
      </c>
      <c r="U444" s="14">
        <f t="shared" si="2"/>
        <v>4.354</v>
      </c>
      <c r="V444" s="14">
        <f t="shared" si="3"/>
        <v>-0.2490461538</v>
      </c>
      <c r="W444" s="15" t="str">
        <f t="shared" si="4"/>
        <v/>
      </c>
      <c r="X444" s="11">
        <f t="shared" si="5"/>
        <v>1372.368</v>
      </c>
      <c r="Y444" s="14">
        <f t="shared" si="6"/>
        <v>0.198</v>
      </c>
      <c r="Z444" s="25"/>
      <c r="AA444" s="21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</row>
    <row r="445">
      <c r="A445" s="7"/>
      <c r="B445" s="7"/>
      <c r="C445" s="7"/>
      <c r="D445" s="7"/>
      <c r="E445" s="7"/>
      <c r="F445" s="7" t="s">
        <v>22</v>
      </c>
      <c r="G445" s="8">
        <v>1923.0</v>
      </c>
      <c r="H445" s="9">
        <v>39.3677666667</v>
      </c>
      <c r="I445" s="9">
        <v>-112.814501111</v>
      </c>
      <c r="J445" s="10">
        <v>1377.26</v>
      </c>
      <c r="K445" s="11">
        <v>8122.26</v>
      </c>
      <c r="L445" s="11">
        <v>7871.724</v>
      </c>
      <c r="M445" s="11">
        <v>-2.819</v>
      </c>
      <c r="N445" s="11">
        <v>8122.254</v>
      </c>
      <c r="O445" s="11">
        <v>7871.718</v>
      </c>
      <c r="P445" s="11">
        <v>-7.279</v>
      </c>
      <c r="Q445" s="11">
        <v>1391.57</v>
      </c>
      <c r="R445" s="11">
        <v>-19.775</v>
      </c>
      <c r="S445" s="12">
        <v>0.89</v>
      </c>
      <c r="T445" s="13">
        <f t="shared" si="1"/>
        <v>1372.685</v>
      </c>
      <c r="U445" s="14">
        <f t="shared" si="2"/>
        <v>4.575</v>
      </c>
      <c r="V445" s="14">
        <f t="shared" si="3"/>
        <v>0.02892960373</v>
      </c>
      <c r="W445" s="15" t="str">
        <f t="shared" si="4"/>
        <v/>
      </c>
      <c r="X445" s="11">
        <f t="shared" si="5"/>
        <v>1372.708</v>
      </c>
      <c r="Y445" s="14">
        <f t="shared" si="6"/>
        <v>-0.023</v>
      </c>
      <c r="Z445" s="25"/>
      <c r="AA445" s="21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</row>
    <row r="446">
      <c r="A446" s="7"/>
      <c r="B446" s="7"/>
      <c r="C446" s="7"/>
      <c r="D446" s="7"/>
      <c r="E446" s="7"/>
      <c r="F446" s="7" t="s">
        <v>22</v>
      </c>
      <c r="G446" s="8">
        <v>1924.0</v>
      </c>
      <c r="H446" s="9">
        <v>39.3785075</v>
      </c>
      <c r="I446" s="9">
        <v>-112.814408056</v>
      </c>
      <c r="J446" s="10">
        <v>1378.37</v>
      </c>
      <c r="K446" s="11">
        <v>8129.031</v>
      </c>
      <c r="L446" s="11">
        <v>9064.484</v>
      </c>
      <c r="M446" s="11">
        <v>-3.305</v>
      </c>
      <c r="N446" s="11">
        <v>8129.024</v>
      </c>
      <c r="O446" s="11">
        <v>9064.476</v>
      </c>
      <c r="P446" s="11">
        <v>-8.965</v>
      </c>
      <c r="Q446" s="11">
        <v>1391.46</v>
      </c>
      <c r="R446" s="11">
        <v>-19.755</v>
      </c>
      <c r="S446" s="12">
        <v>0.89</v>
      </c>
      <c r="T446" s="13">
        <f t="shared" si="1"/>
        <v>1372.595</v>
      </c>
      <c r="U446" s="14">
        <f t="shared" si="2"/>
        <v>5.775</v>
      </c>
      <c r="V446" s="14">
        <f t="shared" si="3"/>
        <v>1.538300233</v>
      </c>
      <c r="W446" s="15" t="str">
        <f t="shared" si="4"/>
        <v/>
      </c>
      <c r="X446" s="11">
        <f t="shared" si="5"/>
        <v>1373.818</v>
      </c>
      <c r="Y446" s="14">
        <f t="shared" si="6"/>
        <v>-1.223</v>
      </c>
      <c r="Z446" s="25"/>
      <c r="AA446" s="21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</row>
    <row r="447">
      <c r="A447" s="7"/>
      <c r="B447" s="7"/>
      <c r="C447" s="7"/>
      <c r="D447" s="7"/>
      <c r="E447" s="7"/>
      <c r="F447" s="7" t="s">
        <v>22</v>
      </c>
      <c r="G447" s="8">
        <v>1925.0</v>
      </c>
      <c r="H447" s="9">
        <v>39.3892738889</v>
      </c>
      <c r="I447" s="9">
        <v>-112.814665</v>
      </c>
      <c r="J447" s="10">
        <v>1378.7</v>
      </c>
      <c r="K447" s="11">
        <v>8105.638</v>
      </c>
      <c r="L447" s="11">
        <v>10259.99</v>
      </c>
      <c r="M447" s="11">
        <v>-4.761</v>
      </c>
      <c r="N447" s="11">
        <v>8105.632</v>
      </c>
      <c r="O447" s="11">
        <v>10259.982</v>
      </c>
      <c r="P447" s="11">
        <v>-9.651</v>
      </c>
      <c r="Q447" s="11">
        <v>1392.54</v>
      </c>
      <c r="R447" s="11">
        <v>-19.735</v>
      </c>
      <c r="S447" s="12">
        <v>0.89</v>
      </c>
      <c r="T447" s="13">
        <f t="shared" si="1"/>
        <v>1373.695</v>
      </c>
      <c r="U447" s="14">
        <f t="shared" si="2"/>
        <v>5.005</v>
      </c>
      <c r="V447" s="14">
        <f t="shared" si="3"/>
        <v>0.5697874126</v>
      </c>
      <c r="W447" s="15" t="str">
        <f t="shared" si="4"/>
        <v/>
      </c>
      <c r="X447" s="11">
        <f t="shared" si="5"/>
        <v>1374.148</v>
      </c>
      <c r="Y447" s="14">
        <f t="shared" si="6"/>
        <v>-0.453</v>
      </c>
      <c r="Z447" s="25"/>
      <c r="AA447" s="21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</row>
    <row r="448">
      <c r="A448" s="7"/>
      <c r="B448" s="7"/>
      <c r="C448" s="7"/>
      <c r="D448" s="7"/>
      <c r="E448" s="7"/>
      <c r="F448" s="7" t="s">
        <v>22</v>
      </c>
      <c r="G448" s="8">
        <v>1926.0</v>
      </c>
      <c r="H448" s="9">
        <v>39.4001538889</v>
      </c>
      <c r="I448" s="9">
        <v>-112.814301111</v>
      </c>
      <c r="J448" s="10">
        <v>1383.3</v>
      </c>
      <c r="K448" s="11">
        <v>8135.745</v>
      </c>
      <c r="L448" s="11">
        <v>11468.221</v>
      </c>
      <c r="M448" s="11">
        <v>-2.262</v>
      </c>
      <c r="N448" s="11">
        <v>8135.739</v>
      </c>
      <c r="O448" s="11">
        <v>11468.213</v>
      </c>
      <c r="P448" s="11">
        <v>-7.052</v>
      </c>
      <c r="Q448" s="11">
        <v>1397.22</v>
      </c>
      <c r="R448" s="11">
        <v>-19.713</v>
      </c>
      <c r="S448" s="12">
        <v>0.89</v>
      </c>
      <c r="T448" s="13">
        <f t="shared" si="1"/>
        <v>1378.397</v>
      </c>
      <c r="U448" s="14">
        <f t="shared" si="2"/>
        <v>4.903</v>
      </c>
      <c r="V448" s="14">
        <f t="shared" si="3"/>
        <v>0.4414909091</v>
      </c>
      <c r="W448" s="15" t="str">
        <f t="shared" si="4"/>
        <v/>
      </c>
      <c r="X448" s="11">
        <f t="shared" si="5"/>
        <v>1378.748</v>
      </c>
      <c r="Y448" s="14">
        <f t="shared" si="6"/>
        <v>-0.351</v>
      </c>
      <c r="Z448" s="25"/>
      <c r="AA448" s="21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</row>
    <row r="449">
      <c r="A449" s="7"/>
      <c r="B449" s="7"/>
      <c r="C449" s="7"/>
      <c r="D449" s="7"/>
      <c r="E449" s="7"/>
      <c r="F449" s="7" t="s">
        <v>22</v>
      </c>
      <c r="G449" s="8">
        <v>1927.0</v>
      </c>
      <c r="H449" s="9">
        <v>39.4109288889</v>
      </c>
      <c r="I449" s="9">
        <v>-112.814295556</v>
      </c>
      <c r="J449" s="10">
        <v>1381.79</v>
      </c>
      <c r="K449" s="11">
        <v>8134.922</v>
      </c>
      <c r="L449" s="11">
        <v>12664.751</v>
      </c>
      <c r="M449" s="11">
        <v>-6.041</v>
      </c>
      <c r="N449" s="11">
        <v>8134.917</v>
      </c>
      <c r="O449" s="11">
        <v>12664.743</v>
      </c>
      <c r="P449" s="11">
        <v>-10.331</v>
      </c>
      <c r="Q449" s="11">
        <v>1396.19</v>
      </c>
      <c r="R449" s="11">
        <v>-19.692</v>
      </c>
      <c r="S449" s="12">
        <v>0.89</v>
      </c>
      <c r="T449" s="13">
        <f t="shared" si="1"/>
        <v>1377.388</v>
      </c>
      <c r="U449" s="14">
        <f t="shared" si="2"/>
        <v>4.402</v>
      </c>
      <c r="V449" s="14">
        <f t="shared" si="3"/>
        <v>-0.1886713287</v>
      </c>
      <c r="W449" s="15" t="str">
        <f t="shared" si="4"/>
        <v/>
      </c>
      <c r="X449" s="11">
        <f t="shared" si="5"/>
        <v>1377.238</v>
      </c>
      <c r="Y449" s="14">
        <f t="shared" si="6"/>
        <v>0.15</v>
      </c>
      <c r="Z449" s="25"/>
      <c r="AA449" s="21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</row>
    <row r="450">
      <c r="A450" s="7"/>
      <c r="B450" s="7"/>
      <c r="C450" s="7"/>
      <c r="D450" s="7"/>
      <c r="E450" s="7"/>
      <c r="F450" s="7" t="s">
        <v>22</v>
      </c>
      <c r="G450" s="8">
        <v>2004.0</v>
      </c>
      <c r="H450" s="9">
        <v>39.1622538889</v>
      </c>
      <c r="I450" s="9">
        <v>-112.801236389</v>
      </c>
      <c r="J450" s="10">
        <v>1377.29</v>
      </c>
      <c r="K450" s="11">
        <v>9292.73</v>
      </c>
      <c r="L450" s="11">
        <v>-14948.074</v>
      </c>
      <c r="M450" s="11">
        <v>-17.075</v>
      </c>
      <c r="N450" s="11">
        <v>9292.723</v>
      </c>
      <c r="O450" s="11">
        <v>-14948.063</v>
      </c>
      <c r="P450" s="11">
        <v>-22.105</v>
      </c>
      <c r="Q450" s="11">
        <v>1391.26</v>
      </c>
      <c r="R450" s="11">
        <v>-19.998</v>
      </c>
      <c r="S450" s="12">
        <v>0.89</v>
      </c>
      <c r="T450" s="13">
        <f t="shared" si="1"/>
        <v>1372.152</v>
      </c>
      <c r="U450" s="14">
        <f t="shared" si="2"/>
        <v>5.138</v>
      </c>
      <c r="V450" s="14">
        <f t="shared" si="3"/>
        <v>0.7370759907</v>
      </c>
      <c r="W450" s="15" t="str">
        <f t="shared" si="4"/>
        <v/>
      </c>
      <c r="X450" s="11">
        <f t="shared" si="5"/>
        <v>1372.738</v>
      </c>
      <c r="Y450" s="14">
        <f t="shared" si="6"/>
        <v>-0.586</v>
      </c>
      <c r="Z450" s="25"/>
      <c r="AA450" s="21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</row>
    <row r="451">
      <c r="A451" s="7"/>
      <c r="B451" s="7"/>
      <c r="C451" s="7"/>
      <c r="D451" s="7"/>
      <c r="E451" s="7"/>
      <c r="F451" s="7" t="s">
        <v>22</v>
      </c>
      <c r="G451" s="8">
        <v>2005.0</v>
      </c>
      <c r="H451" s="9">
        <v>39.1730208333</v>
      </c>
      <c r="I451" s="9">
        <v>-112.801084444</v>
      </c>
      <c r="J451" s="10">
        <v>1375.88</v>
      </c>
      <c r="K451" s="11">
        <v>9304.449</v>
      </c>
      <c r="L451" s="11">
        <v>-13752.463</v>
      </c>
      <c r="M451" s="11">
        <v>-15.805</v>
      </c>
      <c r="N451" s="11">
        <v>9304.443</v>
      </c>
      <c r="O451" s="11">
        <v>-13752.454</v>
      </c>
      <c r="P451" s="11">
        <v>-19.705</v>
      </c>
      <c r="Q451" s="11">
        <v>1390.97</v>
      </c>
      <c r="R451" s="11">
        <v>-19.987</v>
      </c>
      <c r="S451" s="12">
        <v>0.89</v>
      </c>
      <c r="T451" s="13">
        <f t="shared" si="1"/>
        <v>1371.873</v>
      </c>
      <c r="U451" s="14">
        <f t="shared" si="2"/>
        <v>4.007</v>
      </c>
      <c r="V451" s="14">
        <f t="shared" si="3"/>
        <v>-0.6855058275</v>
      </c>
      <c r="W451" s="15" t="str">
        <f t="shared" si="4"/>
        <v/>
      </c>
      <c r="X451" s="11">
        <f t="shared" si="5"/>
        <v>1371.328</v>
      </c>
      <c r="Y451" s="14">
        <f t="shared" si="6"/>
        <v>0.545</v>
      </c>
      <c r="Z451" s="25"/>
      <c r="AA451" s="21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</row>
    <row r="452">
      <c r="A452" s="7"/>
      <c r="B452" s="7"/>
      <c r="C452" s="7"/>
      <c r="D452" s="7"/>
      <c r="E452" s="7"/>
      <c r="F452" s="7" t="s">
        <v>22</v>
      </c>
      <c r="G452" s="8">
        <v>2006.0</v>
      </c>
      <c r="H452" s="9">
        <v>39.183865</v>
      </c>
      <c r="I452" s="9">
        <v>-112.801139167</v>
      </c>
      <c r="J452" s="10">
        <v>1374.28</v>
      </c>
      <c r="K452" s="11">
        <v>9298.264</v>
      </c>
      <c r="L452" s="11">
        <v>-12548.319</v>
      </c>
      <c r="M452" s="11">
        <v>-14.908</v>
      </c>
      <c r="N452" s="11">
        <v>9298.258</v>
      </c>
      <c r="O452" s="11">
        <v>-12548.311</v>
      </c>
      <c r="P452" s="11">
        <v>-19.307</v>
      </c>
      <c r="Q452" s="11">
        <v>1388.85</v>
      </c>
      <c r="R452" s="11">
        <v>-19.975</v>
      </c>
      <c r="S452" s="12">
        <v>0.89</v>
      </c>
      <c r="T452" s="13">
        <f t="shared" si="1"/>
        <v>1369.765</v>
      </c>
      <c r="U452" s="14">
        <f t="shared" si="2"/>
        <v>4.515</v>
      </c>
      <c r="V452" s="14">
        <f t="shared" si="3"/>
        <v>-0.04653892774</v>
      </c>
      <c r="W452" s="15" t="str">
        <f t="shared" si="4"/>
        <v/>
      </c>
      <c r="X452" s="11">
        <f t="shared" si="5"/>
        <v>1369.728</v>
      </c>
      <c r="Y452" s="14">
        <f t="shared" si="6"/>
        <v>0.037</v>
      </c>
      <c r="Z452" s="25"/>
      <c r="AA452" s="21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</row>
    <row r="453">
      <c r="A453" s="7"/>
      <c r="B453" s="7"/>
      <c r="C453" s="7"/>
      <c r="D453" s="7"/>
      <c r="E453" s="7"/>
      <c r="F453" s="7" t="s">
        <v>22</v>
      </c>
      <c r="G453" s="8">
        <v>2007.0</v>
      </c>
      <c r="H453" s="9">
        <v>39.1946641667</v>
      </c>
      <c r="I453" s="9">
        <v>-112.801089722</v>
      </c>
      <c r="J453" s="10">
        <v>1373.88</v>
      </c>
      <c r="K453" s="11">
        <v>9301.075</v>
      </c>
      <c r="L453" s="11">
        <v>-11349.162</v>
      </c>
      <c r="M453" s="11">
        <v>-13.06</v>
      </c>
      <c r="N453" s="11">
        <v>9301.071</v>
      </c>
      <c r="O453" s="11">
        <v>-11349.158</v>
      </c>
      <c r="P453" s="11">
        <v>-15.63</v>
      </c>
      <c r="Q453" s="11">
        <v>1390.27</v>
      </c>
      <c r="R453" s="11">
        <v>-19.963</v>
      </c>
      <c r="S453" s="12">
        <v>0.89</v>
      </c>
      <c r="T453" s="13">
        <f t="shared" si="1"/>
        <v>1371.197</v>
      </c>
      <c r="U453" s="14">
        <f t="shared" si="2"/>
        <v>2.683</v>
      </c>
      <c r="V453" s="14">
        <f t="shared" si="3"/>
        <v>-2.350844755</v>
      </c>
      <c r="W453" s="15" t="str">
        <f t="shared" si="4"/>
        <v/>
      </c>
      <c r="X453" s="11">
        <f t="shared" si="5"/>
        <v>1369.328</v>
      </c>
      <c r="Y453" s="14">
        <f t="shared" si="6"/>
        <v>1.869</v>
      </c>
      <c r="Z453" s="25"/>
      <c r="AA453" s="21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</row>
    <row r="454">
      <c r="A454" s="7"/>
      <c r="B454" s="7"/>
      <c r="C454" s="7"/>
      <c r="D454" s="7"/>
      <c r="E454" s="7"/>
      <c r="F454" s="7" t="s">
        <v>22</v>
      </c>
      <c r="G454" s="8">
        <v>2008.0</v>
      </c>
      <c r="H454" s="9">
        <v>39.2054930556</v>
      </c>
      <c r="I454" s="9">
        <v>-112.801082222</v>
      </c>
      <c r="J454" s="10">
        <v>1374.07</v>
      </c>
      <c r="K454" s="11">
        <v>9300.338</v>
      </c>
      <c r="L454" s="11">
        <v>-10146.677</v>
      </c>
      <c r="M454" s="11">
        <v>-10.837</v>
      </c>
      <c r="N454" s="11">
        <v>9300.334</v>
      </c>
      <c r="O454" s="11">
        <v>-10146.672</v>
      </c>
      <c r="P454" s="11">
        <v>-13.717</v>
      </c>
      <c r="Q454" s="11">
        <v>1390.14</v>
      </c>
      <c r="R454" s="11">
        <v>-19.95</v>
      </c>
      <c r="S454" s="12">
        <v>0.89</v>
      </c>
      <c r="T454" s="13">
        <f t="shared" si="1"/>
        <v>1371.08</v>
      </c>
      <c r="U454" s="14">
        <f t="shared" si="2"/>
        <v>2.99</v>
      </c>
      <c r="V454" s="14">
        <f t="shared" si="3"/>
        <v>-1.964697436</v>
      </c>
      <c r="W454" s="15" t="str">
        <f t="shared" si="4"/>
        <v/>
      </c>
      <c r="X454" s="11">
        <f t="shared" si="5"/>
        <v>1369.518</v>
      </c>
      <c r="Y454" s="14">
        <f t="shared" si="6"/>
        <v>1.562</v>
      </c>
      <c r="Z454" s="25"/>
      <c r="AA454" s="21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</row>
    <row r="455">
      <c r="A455" s="7"/>
      <c r="B455" s="7"/>
      <c r="C455" s="7"/>
      <c r="D455" s="7"/>
      <c r="E455" s="7"/>
      <c r="F455" s="7" t="s">
        <v>22</v>
      </c>
      <c r="G455" s="8">
        <v>2009.0</v>
      </c>
      <c r="H455" s="9">
        <v>39.2163616667</v>
      </c>
      <c r="I455" s="9">
        <v>-112.801021389</v>
      </c>
      <c r="J455" s="10">
        <v>1376.66</v>
      </c>
      <c r="K455" s="11">
        <v>9304.178</v>
      </c>
      <c r="L455" s="11">
        <v>-8939.745</v>
      </c>
      <c r="M455" s="11">
        <v>-6.442</v>
      </c>
      <c r="N455" s="11">
        <v>9304.169</v>
      </c>
      <c r="O455" s="11">
        <v>-8939.736</v>
      </c>
      <c r="P455" s="11">
        <v>-12.372</v>
      </c>
      <c r="Q455" s="11">
        <v>1389.67</v>
      </c>
      <c r="R455" s="11">
        <v>-19.937</v>
      </c>
      <c r="S455" s="12">
        <v>0.89</v>
      </c>
      <c r="T455" s="13">
        <f t="shared" si="1"/>
        <v>1370.623</v>
      </c>
      <c r="U455" s="14">
        <f t="shared" si="2"/>
        <v>6.037</v>
      </c>
      <c r="V455" s="14">
        <f t="shared" si="3"/>
        <v>1.867846154</v>
      </c>
      <c r="W455" s="15" t="str">
        <f t="shared" si="4"/>
        <v/>
      </c>
      <c r="X455" s="11">
        <f t="shared" si="5"/>
        <v>1372.108</v>
      </c>
      <c r="Y455" s="14">
        <f t="shared" si="6"/>
        <v>-1.485</v>
      </c>
      <c r="Z455" s="25"/>
      <c r="AA455" s="21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</row>
    <row r="456">
      <c r="A456" s="7"/>
      <c r="B456" s="7"/>
      <c r="C456" s="7"/>
      <c r="D456" s="7"/>
      <c r="E456" s="7"/>
      <c r="F456" s="7" t="s">
        <v>22</v>
      </c>
      <c r="G456" s="8">
        <v>2010.0</v>
      </c>
      <c r="H456" s="9">
        <v>39.2270516667</v>
      </c>
      <c r="I456" s="9">
        <v>-112.800963611</v>
      </c>
      <c r="J456" s="10">
        <v>1374.84</v>
      </c>
      <c r="K456" s="11">
        <v>9307.687</v>
      </c>
      <c r="L456" s="11">
        <v>-7752.681</v>
      </c>
      <c r="M456" s="11">
        <v>-6.71</v>
      </c>
      <c r="N456" s="11">
        <v>9307.681</v>
      </c>
      <c r="O456" s="11">
        <v>-7752.676</v>
      </c>
      <c r="P456" s="11">
        <v>-11.0</v>
      </c>
      <c r="Q456" s="11">
        <v>1389.47</v>
      </c>
      <c r="R456" s="11">
        <v>-19.924</v>
      </c>
      <c r="S456" s="12">
        <v>0.89</v>
      </c>
      <c r="T456" s="13">
        <f t="shared" si="1"/>
        <v>1370.436</v>
      </c>
      <c r="U456" s="14">
        <f t="shared" si="2"/>
        <v>4.404</v>
      </c>
      <c r="V456" s="14">
        <f t="shared" si="3"/>
        <v>-0.186155711</v>
      </c>
      <c r="W456" s="15" t="str">
        <f t="shared" si="4"/>
        <v/>
      </c>
      <c r="X456" s="11">
        <f t="shared" si="5"/>
        <v>1370.288</v>
      </c>
      <c r="Y456" s="14">
        <f t="shared" si="6"/>
        <v>0.148</v>
      </c>
      <c r="Z456" s="25"/>
      <c r="AA456" s="21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</row>
    <row r="457">
      <c r="A457" s="7"/>
      <c r="B457" s="7"/>
      <c r="C457" s="7"/>
      <c r="D457" s="7"/>
      <c r="E457" s="7"/>
      <c r="F457" s="7" t="s">
        <v>22</v>
      </c>
      <c r="G457" s="8">
        <v>2011.0</v>
      </c>
      <c r="H457" s="9">
        <v>39.2379313889</v>
      </c>
      <c r="I457" s="9">
        <v>-112.800937778</v>
      </c>
      <c r="J457" s="10">
        <v>1375.25</v>
      </c>
      <c r="K457" s="11">
        <v>9308.496</v>
      </c>
      <c r="L457" s="11">
        <v>-6544.633</v>
      </c>
      <c r="M457" s="11">
        <v>-4.944</v>
      </c>
      <c r="N457" s="11">
        <v>9308.49</v>
      </c>
      <c r="O457" s="11">
        <v>-6544.629</v>
      </c>
      <c r="P457" s="11">
        <v>-8.974</v>
      </c>
      <c r="Q457" s="11">
        <v>1390.13</v>
      </c>
      <c r="R457" s="11">
        <v>-19.912</v>
      </c>
      <c r="S457" s="12">
        <v>0.89</v>
      </c>
      <c r="T457" s="13">
        <f t="shared" si="1"/>
        <v>1371.108</v>
      </c>
      <c r="U457" s="14">
        <f t="shared" si="2"/>
        <v>4.142</v>
      </c>
      <c r="V457" s="14">
        <f t="shared" si="3"/>
        <v>-0.5157016317</v>
      </c>
      <c r="W457" s="15" t="str">
        <f t="shared" si="4"/>
        <v/>
      </c>
      <c r="X457" s="11">
        <f t="shared" si="5"/>
        <v>1370.698</v>
      </c>
      <c r="Y457" s="14">
        <f t="shared" si="6"/>
        <v>0.41</v>
      </c>
      <c r="Z457" s="25"/>
      <c r="AA457" s="21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</row>
    <row r="458">
      <c r="A458" s="7"/>
      <c r="B458" s="7"/>
      <c r="C458" s="7"/>
      <c r="D458" s="7"/>
      <c r="E458" s="7"/>
      <c r="F458" s="7" t="s">
        <v>22</v>
      </c>
      <c r="G458" s="8">
        <v>2012.0</v>
      </c>
      <c r="H458" s="9">
        <v>39.2487819444</v>
      </c>
      <c r="I458" s="9">
        <v>-112.800928333</v>
      </c>
      <c r="J458" s="10">
        <v>1376.06</v>
      </c>
      <c r="K458" s="11">
        <v>9307.926</v>
      </c>
      <c r="L458" s="11">
        <v>-5339.695</v>
      </c>
      <c r="M458" s="11">
        <v>-3.008</v>
      </c>
      <c r="N458" s="11">
        <v>9307.92</v>
      </c>
      <c r="O458" s="11">
        <v>-5339.691</v>
      </c>
      <c r="P458" s="11">
        <v>-7.178</v>
      </c>
      <c r="Q458" s="11">
        <v>1390.79</v>
      </c>
      <c r="R458" s="11">
        <v>-19.902</v>
      </c>
      <c r="S458" s="12">
        <v>0.89</v>
      </c>
      <c r="T458" s="13">
        <f t="shared" si="1"/>
        <v>1371.778</v>
      </c>
      <c r="U458" s="14">
        <f t="shared" si="2"/>
        <v>4.282</v>
      </c>
      <c r="V458" s="14">
        <f t="shared" si="3"/>
        <v>-0.3396083916</v>
      </c>
      <c r="W458" s="15" t="str">
        <f t="shared" si="4"/>
        <v/>
      </c>
      <c r="X458" s="11">
        <f t="shared" si="5"/>
        <v>1371.508</v>
      </c>
      <c r="Y458" s="14">
        <f t="shared" si="6"/>
        <v>0.27</v>
      </c>
      <c r="Z458" s="25"/>
      <c r="AA458" s="21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</row>
    <row r="459">
      <c r="A459" s="7"/>
      <c r="B459" s="7"/>
      <c r="C459" s="7"/>
      <c r="D459" s="7"/>
      <c r="E459" s="7"/>
      <c r="F459" s="7" t="s">
        <v>22</v>
      </c>
      <c r="G459" s="8">
        <v>2013.0</v>
      </c>
      <c r="H459" s="9">
        <v>39.2583219444</v>
      </c>
      <c r="I459" s="9">
        <v>-112.800844167</v>
      </c>
      <c r="J459" s="10">
        <v>1376.75</v>
      </c>
      <c r="K459" s="11">
        <v>9313.918</v>
      </c>
      <c r="L459" s="11">
        <v>-4280.324</v>
      </c>
      <c r="M459" s="11">
        <v>-1.526</v>
      </c>
      <c r="N459" s="11">
        <v>9313.911</v>
      </c>
      <c r="O459" s="11">
        <v>-4280.321</v>
      </c>
      <c r="P459" s="11">
        <v>-6.196</v>
      </c>
      <c r="Q459" s="11">
        <v>1390.97</v>
      </c>
      <c r="R459" s="11">
        <v>-19.893</v>
      </c>
      <c r="S459" s="12">
        <v>0.89</v>
      </c>
      <c r="T459" s="13">
        <f t="shared" si="1"/>
        <v>1371.967</v>
      </c>
      <c r="U459" s="14">
        <f t="shared" si="2"/>
        <v>4.783</v>
      </c>
      <c r="V459" s="14">
        <f t="shared" si="3"/>
        <v>0.2905538462</v>
      </c>
      <c r="W459" s="15" t="str">
        <f t="shared" si="4"/>
        <v/>
      </c>
      <c r="X459" s="11">
        <f t="shared" si="5"/>
        <v>1372.198</v>
      </c>
      <c r="Y459" s="14">
        <f t="shared" si="6"/>
        <v>-0.231</v>
      </c>
      <c r="Z459" s="25"/>
      <c r="AA459" s="21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</row>
    <row r="460">
      <c r="A460" s="7"/>
      <c r="B460" s="7"/>
      <c r="C460" s="7"/>
      <c r="D460" s="7"/>
      <c r="E460" s="7"/>
      <c r="F460" s="7" t="s">
        <v>22</v>
      </c>
      <c r="G460" s="8">
        <v>2014.0</v>
      </c>
      <c r="H460" s="9">
        <v>39.2706538889</v>
      </c>
      <c r="I460" s="9">
        <v>-112.801448889</v>
      </c>
      <c r="J460" s="10">
        <v>1378.52</v>
      </c>
      <c r="K460" s="11">
        <v>9260.068</v>
      </c>
      <c r="L460" s="11">
        <v>-2910.987</v>
      </c>
      <c r="M460" s="11">
        <v>1.096</v>
      </c>
      <c r="N460" s="11">
        <v>9260.063</v>
      </c>
      <c r="O460" s="11">
        <v>-2910.985</v>
      </c>
      <c r="P460" s="11">
        <v>-2.604</v>
      </c>
      <c r="Q460" s="11">
        <v>1393.7</v>
      </c>
      <c r="R460" s="11">
        <v>-19.882</v>
      </c>
      <c r="S460" s="12">
        <v>0.89</v>
      </c>
      <c r="T460" s="13">
        <f t="shared" si="1"/>
        <v>1374.708</v>
      </c>
      <c r="U460" s="14">
        <f t="shared" si="2"/>
        <v>3.812</v>
      </c>
      <c r="V460" s="14">
        <f t="shared" si="3"/>
        <v>-0.9307785548</v>
      </c>
      <c r="W460" s="15" t="str">
        <f t="shared" si="4"/>
        <v/>
      </c>
      <c r="X460" s="11">
        <f t="shared" si="5"/>
        <v>1373.968</v>
      </c>
      <c r="Y460" s="14">
        <f t="shared" si="6"/>
        <v>0.74</v>
      </c>
      <c r="Z460" s="25"/>
      <c r="AA460" s="21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</row>
    <row r="461">
      <c r="A461" s="7"/>
      <c r="B461" s="7"/>
      <c r="C461" s="7"/>
      <c r="D461" s="7"/>
      <c r="E461" s="7"/>
      <c r="F461" s="7" t="s">
        <v>22</v>
      </c>
      <c r="G461" s="8">
        <v>2015.0</v>
      </c>
      <c r="H461" s="9">
        <v>39.2812405556</v>
      </c>
      <c r="I461" s="9">
        <v>-112.800809444</v>
      </c>
      <c r="J461" s="10">
        <v>1375.9</v>
      </c>
      <c r="K461" s="11">
        <v>9313.904</v>
      </c>
      <c r="L461" s="11">
        <v>-1735.29</v>
      </c>
      <c r="M461" s="11">
        <v>-1.173</v>
      </c>
      <c r="N461" s="11">
        <v>9313.898</v>
      </c>
      <c r="O461" s="11">
        <v>-1735.289</v>
      </c>
      <c r="P461" s="11">
        <v>-4.913</v>
      </c>
      <c r="Q461" s="11">
        <v>1391.03</v>
      </c>
      <c r="R461" s="11">
        <v>-19.873</v>
      </c>
      <c r="S461" s="12">
        <v>0.89</v>
      </c>
      <c r="T461" s="13">
        <f t="shared" si="1"/>
        <v>1372.047</v>
      </c>
      <c r="U461" s="14">
        <f t="shared" si="2"/>
        <v>3.853</v>
      </c>
      <c r="V461" s="14">
        <f t="shared" si="3"/>
        <v>-0.8792083916</v>
      </c>
      <c r="W461" s="15" t="str">
        <f t="shared" si="4"/>
        <v/>
      </c>
      <c r="X461" s="11">
        <f t="shared" si="5"/>
        <v>1371.348</v>
      </c>
      <c r="Y461" s="14">
        <f t="shared" si="6"/>
        <v>0.699</v>
      </c>
      <c r="Z461" s="25"/>
      <c r="AA461" s="21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</row>
    <row r="462">
      <c r="A462" s="7"/>
      <c r="B462" s="7"/>
      <c r="C462" s="7"/>
      <c r="D462" s="7"/>
      <c r="E462" s="7"/>
      <c r="F462" s="7" t="s">
        <v>22</v>
      </c>
      <c r="G462" s="8">
        <v>2016.0</v>
      </c>
      <c r="H462" s="9">
        <v>39.292065</v>
      </c>
      <c r="I462" s="9">
        <v>-112.800811667</v>
      </c>
      <c r="J462" s="10">
        <v>1377.58</v>
      </c>
      <c r="K462" s="11">
        <v>9312.214</v>
      </c>
      <c r="L462" s="11">
        <v>-533.341</v>
      </c>
      <c r="M462" s="11">
        <v>0.724</v>
      </c>
      <c r="N462" s="11">
        <v>9312.207</v>
      </c>
      <c r="O462" s="11">
        <v>-533.34</v>
      </c>
      <c r="P462" s="11">
        <v>-3.806</v>
      </c>
      <c r="Q462" s="11">
        <v>1391.91</v>
      </c>
      <c r="R462" s="11">
        <v>-19.865</v>
      </c>
      <c r="S462" s="12">
        <v>0.89</v>
      </c>
      <c r="T462" s="13">
        <f t="shared" si="1"/>
        <v>1372.935</v>
      </c>
      <c r="U462" s="14">
        <f t="shared" si="2"/>
        <v>4.645</v>
      </c>
      <c r="V462" s="14">
        <f t="shared" si="3"/>
        <v>0.1169762238</v>
      </c>
      <c r="W462" s="15" t="str">
        <f t="shared" si="4"/>
        <v/>
      </c>
      <c r="X462" s="11">
        <f t="shared" si="5"/>
        <v>1373.028</v>
      </c>
      <c r="Y462" s="14">
        <f t="shared" si="6"/>
        <v>-0.093</v>
      </c>
      <c r="Z462" s="25"/>
      <c r="AA462" s="21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</row>
    <row r="463">
      <c r="A463" s="7"/>
      <c r="B463" s="7"/>
      <c r="C463" s="7"/>
      <c r="D463" s="7"/>
      <c r="E463" s="7"/>
      <c r="F463" s="7" t="s">
        <v>22</v>
      </c>
      <c r="G463" s="8">
        <v>2017.0</v>
      </c>
      <c r="H463" s="9">
        <v>39.3028130556</v>
      </c>
      <c r="I463" s="9">
        <v>-112.800761111</v>
      </c>
      <c r="J463" s="10">
        <v>1376.49</v>
      </c>
      <c r="K463" s="11">
        <v>9315.188</v>
      </c>
      <c r="L463" s="11">
        <v>660.178</v>
      </c>
      <c r="M463" s="11">
        <v>-0.382</v>
      </c>
      <c r="N463" s="11">
        <v>9315.182</v>
      </c>
      <c r="O463" s="11">
        <v>660.177</v>
      </c>
      <c r="P463" s="11">
        <v>-4.762</v>
      </c>
      <c r="Q463" s="11">
        <v>1390.97</v>
      </c>
      <c r="R463" s="11">
        <v>-19.857</v>
      </c>
      <c r="S463" s="12">
        <v>0.89</v>
      </c>
      <c r="T463" s="13">
        <f t="shared" si="1"/>
        <v>1372.003</v>
      </c>
      <c r="U463" s="14">
        <f t="shared" si="2"/>
        <v>4.487</v>
      </c>
      <c r="V463" s="14">
        <f t="shared" si="3"/>
        <v>-0.08175757576</v>
      </c>
      <c r="W463" s="15" t="str">
        <f t="shared" si="4"/>
        <v/>
      </c>
      <c r="X463" s="11">
        <f t="shared" si="5"/>
        <v>1371.938</v>
      </c>
      <c r="Y463" s="14">
        <f t="shared" si="6"/>
        <v>0.065</v>
      </c>
      <c r="Z463" s="25"/>
      <c r="AA463" s="21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</row>
    <row r="464">
      <c r="A464" s="7"/>
      <c r="B464" s="7"/>
      <c r="C464" s="7"/>
      <c r="D464" s="7"/>
      <c r="E464" s="7"/>
      <c r="F464" s="7" t="s">
        <v>22</v>
      </c>
      <c r="G464" s="8">
        <v>2018.0</v>
      </c>
      <c r="H464" s="9">
        <v>39.31367</v>
      </c>
      <c r="I464" s="9">
        <v>-112.800683611</v>
      </c>
      <c r="J464" s="10">
        <v>1376.84</v>
      </c>
      <c r="K464" s="11">
        <v>9320.392</v>
      </c>
      <c r="L464" s="11">
        <v>1865.805</v>
      </c>
      <c r="M464" s="11">
        <v>-0.279</v>
      </c>
      <c r="N464" s="11">
        <v>9320.386</v>
      </c>
      <c r="O464" s="11">
        <v>1865.804</v>
      </c>
      <c r="P464" s="11">
        <v>-3.799</v>
      </c>
      <c r="Q464" s="11">
        <v>1392.17</v>
      </c>
      <c r="R464" s="11">
        <v>-19.846</v>
      </c>
      <c r="S464" s="12">
        <v>0.89</v>
      </c>
      <c r="T464" s="13">
        <f t="shared" si="1"/>
        <v>1373.214</v>
      </c>
      <c r="U464" s="14">
        <f t="shared" si="2"/>
        <v>3.626</v>
      </c>
      <c r="V464" s="14">
        <f t="shared" si="3"/>
        <v>-1.164731002</v>
      </c>
      <c r="W464" s="15" t="str">
        <f t="shared" si="4"/>
        <v/>
      </c>
      <c r="X464" s="11">
        <f t="shared" si="5"/>
        <v>1372.288</v>
      </c>
      <c r="Y464" s="14">
        <f t="shared" si="6"/>
        <v>0.926</v>
      </c>
      <c r="Z464" s="25"/>
      <c r="AA464" s="21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</row>
    <row r="465">
      <c r="A465" s="7"/>
      <c r="B465" s="7"/>
      <c r="C465" s="7"/>
      <c r="D465" s="7"/>
      <c r="E465" s="7"/>
      <c r="F465" s="7" t="s">
        <v>22</v>
      </c>
      <c r="G465" s="8">
        <v>2019.0</v>
      </c>
      <c r="H465" s="9">
        <v>39.3245133333</v>
      </c>
      <c r="I465" s="9">
        <v>-112.800685556</v>
      </c>
      <c r="J465" s="10">
        <v>1377.72</v>
      </c>
      <c r="K465" s="11">
        <v>9318.782</v>
      </c>
      <c r="L465" s="11">
        <v>3069.871</v>
      </c>
      <c r="M465" s="11">
        <v>0.136</v>
      </c>
      <c r="N465" s="11">
        <v>9318.775</v>
      </c>
      <c r="O465" s="11">
        <v>3069.869</v>
      </c>
      <c r="P465" s="11">
        <v>-4.044</v>
      </c>
      <c r="Q465" s="11">
        <v>1392.37</v>
      </c>
      <c r="R465" s="11">
        <v>-19.834</v>
      </c>
      <c r="S465" s="12">
        <v>0.89</v>
      </c>
      <c r="T465" s="13">
        <f t="shared" si="1"/>
        <v>1373.426</v>
      </c>
      <c r="U465" s="14">
        <f t="shared" si="2"/>
        <v>4.294</v>
      </c>
      <c r="V465" s="14">
        <f t="shared" si="3"/>
        <v>-0.3245146853</v>
      </c>
      <c r="W465" s="15" t="str">
        <f t="shared" si="4"/>
        <v/>
      </c>
      <c r="X465" s="11">
        <f t="shared" si="5"/>
        <v>1373.168</v>
      </c>
      <c r="Y465" s="14">
        <f t="shared" si="6"/>
        <v>0.258</v>
      </c>
      <c r="Z465" s="25"/>
      <c r="AA465" s="21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</row>
    <row r="466">
      <c r="A466" s="7"/>
      <c r="B466" s="7"/>
      <c r="C466" s="7"/>
      <c r="D466" s="7"/>
      <c r="E466" s="7"/>
      <c r="F466" s="7" t="s">
        <v>22</v>
      </c>
      <c r="G466" s="8">
        <v>2020.0</v>
      </c>
      <c r="H466" s="9">
        <v>39.3353480556</v>
      </c>
      <c r="I466" s="9">
        <v>-112.800843056</v>
      </c>
      <c r="J466" s="10">
        <v>1377.5</v>
      </c>
      <c r="K466" s="11">
        <v>9303.804</v>
      </c>
      <c r="L466" s="11">
        <v>4273.036</v>
      </c>
      <c r="M466" s="11">
        <v>-0.756</v>
      </c>
      <c r="N466" s="11">
        <v>9303.798</v>
      </c>
      <c r="O466" s="11">
        <v>4273.033</v>
      </c>
      <c r="P466" s="11">
        <v>-4.846</v>
      </c>
      <c r="Q466" s="11">
        <v>1392.23</v>
      </c>
      <c r="R466" s="11">
        <v>-19.821</v>
      </c>
      <c r="S466" s="12">
        <v>0.89</v>
      </c>
      <c r="T466" s="13">
        <f t="shared" si="1"/>
        <v>1373.299</v>
      </c>
      <c r="U466" s="14">
        <f t="shared" si="2"/>
        <v>4.201</v>
      </c>
      <c r="V466" s="14">
        <f t="shared" si="3"/>
        <v>-0.4414909091</v>
      </c>
      <c r="W466" s="15" t="str">
        <f t="shared" si="4"/>
        <v/>
      </c>
      <c r="X466" s="11">
        <f t="shared" si="5"/>
        <v>1372.948</v>
      </c>
      <c r="Y466" s="14">
        <f t="shared" si="6"/>
        <v>0.351</v>
      </c>
      <c r="Z466" s="25"/>
      <c r="AA466" s="21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</row>
    <row r="467">
      <c r="A467" s="7"/>
      <c r="B467" s="7"/>
      <c r="C467" s="7"/>
      <c r="D467" s="7"/>
      <c r="E467" s="7"/>
      <c r="F467" s="7" t="s">
        <v>22</v>
      </c>
      <c r="G467" s="8">
        <v>2021.0</v>
      </c>
      <c r="H467" s="9">
        <v>39.3460986111</v>
      </c>
      <c r="I467" s="9">
        <v>-112.800322778</v>
      </c>
      <c r="J467" s="10">
        <v>1377.74</v>
      </c>
      <c r="K467" s="11">
        <v>9347.215</v>
      </c>
      <c r="L467" s="11">
        <v>5466.944</v>
      </c>
      <c r="M467" s="11">
        <v>-1.493</v>
      </c>
      <c r="N467" s="11">
        <v>9347.21</v>
      </c>
      <c r="O467" s="11">
        <v>5466.941</v>
      </c>
      <c r="P467" s="11">
        <v>-4.993</v>
      </c>
      <c r="Q467" s="11">
        <v>1393.05</v>
      </c>
      <c r="R467" s="11">
        <v>-19.806</v>
      </c>
      <c r="S467" s="12">
        <v>0.89</v>
      </c>
      <c r="T467" s="13">
        <f t="shared" si="1"/>
        <v>1374.134</v>
      </c>
      <c r="U467" s="14">
        <f t="shared" si="2"/>
        <v>3.606</v>
      </c>
      <c r="V467" s="14">
        <f t="shared" si="3"/>
        <v>-1.189887179</v>
      </c>
      <c r="W467" s="15" t="str">
        <f t="shared" si="4"/>
        <v/>
      </c>
      <c r="X467" s="11">
        <f t="shared" si="5"/>
        <v>1373.188</v>
      </c>
      <c r="Y467" s="14">
        <f t="shared" si="6"/>
        <v>0.946</v>
      </c>
      <c r="Z467" s="25"/>
      <c r="AA467" s="21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</row>
    <row r="468">
      <c r="A468" s="7"/>
      <c r="B468" s="7"/>
      <c r="C468" s="7"/>
      <c r="D468" s="7"/>
      <c r="E468" s="7"/>
      <c r="F468" s="7" t="s">
        <v>22</v>
      </c>
      <c r="G468" s="8">
        <v>2022.0</v>
      </c>
      <c r="H468" s="9">
        <v>39.3561841667</v>
      </c>
      <c r="I468" s="9">
        <v>-112.800746111</v>
      </c>
      <c r="J468" s="10">
        <v>1378.78</v>
      </c>
      <c r="K468" s="11">
        <v>9309.406</v>
      </c>
      <c r="L468" s="11">
        <v>6586.802</v>
      </c>
      <c r="M468" s="11">
        <v>-1.459</v>
      </c>
      <c r="N468" s="11">
        <v>9309.399</v>
      </c>
      <c r="O468" s="11">
        <v>6586.797</v>
      </c>
      <c r="P468" s="11">
        <v>-6.179</v>
      </c>
      <c r="Q468" s="11">
        <v>1392.85</v>
      </c>
      <c r="R468" s="11">
        <v>-19.79</v>
      </c>
      <c r="S468" s="12">
        <v>0.89</v>
      </c>
      <c r="T468" s="13">
        <f t="shared" si="1"/>
        <v>1373.95</v>
      </c>
      <c r="U468" s="14">
        <f t="shared" si="2"/>
        <v>4.83</v>
      </c>
      <c r="V468" s="14">
        <f t="shared" si="3"/>
        <v>0.3496708625</v>
      </c>
      <c r="W468" s="15" t="str">
        <f t="shared" si="4"/>
        <v/>
      </c>
      <c r="X468" s="11">
        <f t="shared" si="5"/>
        <v>1374.228</v>
      </c>
      <c r="Y468" s="14">
        <f t="shared" si="6"/>
        <v>-0.278</v>
      </c>
      <c r="Z468" s="25"/>
      <c r="AA468" s="21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</row>
    <row r="469">
      <c r="A469" s="7"/>
      <c r="B469" s="7"/>
      <c r="C469" s="7"/>
      <c r="D469" s="7"/>
      <c r="E469" s="7"/>
      <c r="F469" s="7" t="s">
        <v>22</v>
      </c>
      <c r="G469" s="8">
        <v>2023.0</v>
      </c>
      <c r="H469" s="9">
        <v>39.3677144444</v>
      </c>
      <c r="I469" s="9">
        <v>-112.800555278</v>
      </c>
      <c r="J469" s="10">
        <v>1378.34</v>
      </c>
      <c r="K469" s="11">
        <v>9324.338</v>
      </c>
      <c r="L469" s="11">
        <v>7867.185</v>
      </c>
      <c r="M469" s="11">
        <v>-3.375</v>
      </c>
      <c r="N469" s="11">
        <v>9324.333</v>
      </c>
      <c r="O469" s="11">
        <v>7867.18</v>
      </c>
      <c r="P469" s="11">
        <v>-7.385</v>
      </c>
      <c r="Q469" s="11">
        <v>1393.1</v>
      </c>
      <c r="R469" s="11">
        <v>-19.769</v>
      </c>
      <c r="S469" s="12">
        <v>0.89</v>
      </c>
      <c r="T469" s="13">
        <f t="shared" si="1"/>
        <v>1374.221</v>
      </c>
      <c r="U469" s="14">
        <f t="shared" si="2"/>
        <v>4.119</v>
      </c>
      <c r="V469" s="14">
        <f t="shared" si="3"/>
        <v>-0.5446312354</v>
      </c>
      <c r="W469" s="15" t="str">
        <f t="shared" si="4"/>
        <v/>
      </c>
      <c r="X469" s="11">
        <f t="shared" si="5"/>
        <v>1373.788</v>
      </c>
      <c r="Y469" s="14">
        <f t="shared" si="6"/>
        <v>0.433</v>
      </c>
      <c r="Z469" s="25"/>
      <c r="AA469" s="21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</row>
    <row r="470">
      <c r="A470" s="7"/>
      <c r="B470" s="7"/>
      <c r="C470" s="7"/>
      <c r="D470" s="7"/>
      <c r="E470" s="7"/>
      <c r="F470" s="7" t="s">
        <v>22</v>
      </c>
      <c r="G470" s="8">
        <v>2024.0</v>
      </c>
      <c r="H470" s="9">
        <v>39.3785422222</v>
      </c>
      <c r="I470" s="9">
        <v>-112.800517778</v>
      </c>
      <c r="J470" s="10">
        <v>1380.25</v>
      </c>
      <c r="K470" s="11">
        <v>9326.09</v>
      </c>
      <c r="L470" s="11">
        <v>9069.603</v>
      </c>
      <c r="M470" s="11">
        <v>-3.068</v>
      </c>
      <c r="N470" s="11">
        <v>9326.083</v>
      </c>
      <c r="O470" s="11">
        <v>9069.596</v>
      </c>
      <c r="P470" s="11">
        <v>-7.868</v>
      </c>
      <c r="Q470" s="11">
        <v>1394.2</v>
      </c>
      <c r="R470" s="11">
        <v>-19.75</v>
      </c>
      <c r="S470" s="12">
        <v>0.89</v>
      </c>
      <c r="T470" s="13">
        <f t="shared" si="1"/>
        <v>1375.34</v>
      </c>
      <c r="U470" s="14">
        <f t="shared" si="2"/>
        <v>4.91</v>
      </c>
      <c r="V470" s="14">
        <f t="shared" si="3"/>
        <v>0.4502955711</v>
      </c>
      <c r="W470" s="15" t="str">
        <f t="shared" si="4"/>
        <v/>
      </c>
      <c r="X470" s="11">
        <f t="shared" si="5"/>
        <v>1375.698</v>
      </c>
      <c r="Y470" s="14">
        <f t="shared" si="6"/>
        <v>-0.358</v>
      </c>
      <c r="Z470" s="25"/>
      <c r="AA470" s="21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</row>
    <row r="471">
      <c r="A471" s="7"/>
      <c r="B471" s="7"/>
      <c r="C471" s="7"/>
      <c r="D471" s="7"/>
      <c r="E471" s="7"/>
      <c r="F471" s="7" t="s">
        <v>22</v>
      </c>
      <c r="G471" s="8">
        <v>2025.0</v>
      </c>
      <c r="H471" s="9">
        <v>39.3898516667</v>
      </c>
      <c r="I471" s="9">
        <v>-112.800886944</v>
      </c>
      <c r="J471" s="10">
        <v>1379.64</v>
      </c>
      <c r="K471" s="11">
        <v>9292.788</v>
      </c>
      <c r="L471" s="11">
        <v>10325.502</v>
      </c>
      <c r="M471" s="11">
        <v>-5.544</v>
      </c>
      <c r="N471" s="11">
        <v>9292.782</v>
      </c>
      <c r="O471" s="11">
        <v>10325.495</v>
      </c>
      <c r="P471" s="11">
        <v>-9.924</v>
      </c>
      <c r="Q471" s="11">
        <v>1393.99</v>
      </c>
      <c r="R471" s="11">
        <v>-19.729</v>
      </c>
      <c r="S471" s="12">
        <v>0.89</v>
      </c>
      <c r="T471" s="13">
        <f t="shared" si="1"/>
        <v>1375.151</v>
      </c>
      <c r="U471" s="14">
        <f t="shared" si="2"/>
        <v>4.489</v>
      </c>
      <c r="V471" s="14">
        <f t="shared" si="3"/>
        <v>-0.07924195804</v>
      </c>
      <c r="W471" s="15" t="str">
        <f t="shared" si="4"/>
        <v/>
      </c>
      <c r="X471" s="11">
        <f t="shared" si="5"/>
        <v>1375.088</v>
      </c>
      <c r="Y471" s="14">
        <f t="shared" si="6"/>
        <v>0.063</v>
      </c>
      <c r="Z471" s="25"/>
      <c r="AA471" s="21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</row>
    <row r="472">
      <c r="A472" s="7"/>
      <c r="B472" s="7"/>
      <c r="C472" s="7"/>
      <c r="D472" s="7"/>
      <c r="E472" s="7"/>
      <c r="F472" s="7" t="s">
        <v>22</v>
      </c>
      <c r="G472" s="8">
        <v>2105.0</v>
      </c>
      <c r="H472" s="9">
        <v>39.1730486111</v>
      </c>
      <c r="I472" s="9">
        <v>-112.787225</v>
      </c>
      <c r="J472" s="10">
        <v>1373.97</v>
      </c>
      <c r="K472" s="11">
        <v>10502.323</v>
      </c>
      <c r="L472" s="11">
        <v>-13747.832</v>
      </c>
      <c r="M472" s="11">
        <v>-19.562</v>
      </c>
      <c r="N472" s="11">
        <v>10502.317</v>
      </c>
      <c r="O472" s="11">
        <v>-13747.823</v>
      </c>
      <c r="P472" s="11">
        <v>-23.652</v>
      </c>
      <c r="Q472" s="11">
        <v>1388.87</v>
      </c>
      <c r="R472" s="11">
        <v>-19.995</v>
      </c>
      <c r="S472" s="12">
        <v>0.89</v>
      </c>
      <c r="T472" s="13">
        <f t="shared" si="1"/>
        <v>1369.765</v>
      </c>
      <c r="U472" s="14">
        <f t="shared" si="2"/>
        <v>4.205</v>
      </c>
      <c r="V472" s="14">
        <f t="shared" si="3"/>
        <v>-0.4364596737</v>
      </c>
      <c r="W472" s="15" t="str">
        <f t="shared" si="4"/>
        <v/>
      </c>
      <c r="X472" s="11">
        <f t="shared" si="5"/>
        <v>1369.418</v>
      </c>
      <c r="Y472" s="14">
        <f t="shared" si="6"/>
        <v>0.347</v>
      </c>
      <c r="Z472" s="25"/>
      <c r="AA472" s="21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</row>
    <row r="473">
      <c r="A473" s="7"/>
      <c r="B473" s="7"/>
      <c r="C473" s="7"/>
      <c r="D473" s="7"/>
      <c r="E473" s="7"/>
      <c r="F473" s="7" t="s">
        <v>22</v>
      </c>
      <c r="G473" s="8">
        <v>2106.0</v>
      </c>
      <c r="H473" s="9">
        <v>39.1838202778</v>
      </c>
      <c r="I473" s="9">
        <v>-112.787272222</v>
      </c>
      <c r="J473" s="10">
        <v>1374.1</v>
      </c>
      <c r="K473" s="11">
        <v>10496.659</v>
      </c>
      <c r="L473" s="11">
        <v>-12551.799</v>
      </c>
      <c r="M473" s="11">
        <v>-16.951</v>
      </c>
      <c r="N473" s="11">
        <v>10496.652</v>
      </c>
      <c r="O473" s="11">
        <v>-12551.79</v>
      </c>
      <c r="P473" s="11">
        <v>-21.461</v>
      </c>
      <c r="Q473" s="11">
        <v>1388.57</v>
      </c>
      <c r="R473" s="11">
        <v>-19.982</v>
      </c>
      <c r="S473" s="12">
        <v>0.89</v>
      </c>
      <c r="T473" s="13">
        <f t="shared" si="1"/>
        <v>1369.478</v>
      </c>
      <c r="U473" s="14">
        <f t="shared" si="2"/>
        <v>4.622</v>
      </c>
      <c r="V473" s="14">
        <f t="shared" si="3"/>
        <v>0.08804662005</v>
      </c>
      <c r="W473" s="15" t="str">
        <f t="shared" si="4"/>
        <v/>
      </c>
      <c r="X473" s="11">
        <f t="shared" si="5"/>
        <v>1369.548</v>
      </c>
      <c r="Y473" s="14">
        <f t="shared" si="6"/>
        <v>-0.07</v>
      </c>
      <c r="Z473" s="25"/>
      <c r="AA473" s="21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</row>
    <row r="474">
      <c r="A474" s="7"/>
      <c r="B474" s="7"/>
      <c r="C474" s="7"/>
      <c r="D474" s="7"/>
      <c r="E474" s="7"/>
      <c r="F474" s="7" t="s">
        <v>22</v>
      </c>
      <c r="G474" s="8">
        <v>2107.0</v>
      </c>
      <c r="H474" s="9">
        <v>39.1947233333</v>
      </c>
      <c r="I474" s="9">
        <v>-112.787238889</v>
      </c>
      <c r="J474" s="10">
        <v>1374.18</v>
      </c>
      <c r="K474" s="11">
        <v>10497.889</v>
      </c>
      <c r="L474" s="11">
        <v>-11341.096</v>
      </c>
      <c r="M474" s="11">
        <v>-14.6</v>
      </c>
      <c r="N474" s="11">
        <v>10497.882</v>
      </c>
      <c r="O474" s="11">
        <v>-11341.088</v>
      </c>
      <c r="P474" s="11">
        <v>-19.08</v>
      </c>
      <c r="Q474" s="11">
        <v>1388.67</v>
      </c>
      <c r="R474" s="11">
        <v>-19.968</v>
      </c>
      <c r="S474" s="12">
        <v>0.89</v>
      </c>
      <c r="T474" s="13">
        <f t="shared" si="1"/>
        <v>1369.592</v>
      </c>
      <c r="U474" s="14">
        <f t="shared" si="2"/>
        <v>4.588</v>
      </c>
      <c r="V474" s="14">
        <f t="shared" si="3"/>
        <v>0.04528111888</v>
      </c>
      <c r="W474" s="15" t="str">
        <f t="shared" si="4"/>
        <v/>
      </c>
      <c r="X474" s="11">
        <f t="shared" si="5"/>
        <v>1369.628</v>
      </c>
      <c r="Y474" s="14">
        <f t="shared" si="6"/>
        <v>-0.036</v>
      </c>
      <c r="Z474" s="25"/>
      <c r="AA474" s="21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</row>
    <row r="475">
      <c r="A475" s="7"/>
      <c r="B475" s="7"/>
      <c r="C475" s="7"/>
      <c r="D475" s="7"/>
      <c r="E475" s="7"/>
      <c r="F475" s="7" t="s">
        <v>22</v>
      </c>
      <c r="G475" s="8">
        <v>2108.0</v>
      </c>
      <c r="H475" s="9">
        <v>39.2054530556</v>
      </c>
      <c r="I475" s="9">
        <v>-112.787176389</v>
      </c>
      <c r="J475" s="10">
        <v>1375.47</v>
      </c>
      <c r="K475" s="11">
        <v>10501.737</v>
      </c>
      <c r="L475" s="11">
        <v>-10149.599</v>
      </c>
      <c r="M475" s="11">
        <v>-11.304</v>
      </c>
      <c r="N475" s="11">
        <v>10501.732</v>
      </c>
      <c r="O475" s="11">
        <v>-10149.593</v>
      </c>
      <c r="P475" s="11">
        <v>-14.754</v>
      </c>
      <c r="Q475" s="11">
        <v>1390.97</v>
      </c>
      <c r="R475" s="11">
        <v>-19.954</v>
      </c>
      <c r="S475" s="12">
        <v>0.89</v>
      </c>
      <c r="T475" s="13">
        <f t="shared" si="1"/>
        <v>1371.906</v>
      </c>
      <c r="U475" s="14">
        <f t="shared" si="2"/>
        <v>3.564</v>
      </c>
      <c r="V475" s="14">
        <f t="shared" si="3"/>
        <v>-1.242715152</v>
      </c>
      <c r="W475" s="15" t="str">
        <f t="shared" si="4"/>
        <v/>
      </c>
      <c r="X475" s="11">
        <f t="shared" si="5"/>
        <v>1370.918</v>
      </c>
      <c r="Y475" s="14">
        <f t="shared" si="6"/>
        <v>0.988</v>
      </c>
      <c r="Z475" s="25"/>
      <c r="AA475" s="21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</row>
    <row r="476">
      <c r="A476" s="7"/>
      <c r="B476" s="7"/>
      <c r="C476" s="7"/>
      <c r="D476" s="7"/>
      <c r="E476" s="7"/>
      <c r="F476" s="7" t="s">
        <v>22</v>
      </c>
      <c r="G476" s="8">
        <v>2109.0</v>
      </c>
      <c r="H476" s="9">
        <v>39.2163005556</v>
      </c>
      <c r="I476" s="9">
        <v>-112.787132222</v>
      </c>
      <c r="J476" s="10">
        <v>1376.54</v>
      </c>
      <c r="K476" s="11">
        <v>10503.924</v>
      </c>
      <c r="L476" s="11">
        <v>-8944.998</v>
      </c>
      <c r="M476" s="11">
        <v>-8.43</v>
      </c>
      <c r="N476" s="11">
        <v>10503.917</v>
      </c>
      <c r="O476" s="11">
        <v>-8944.991</v>
      </c>
      <c r="P476" s="11">
        <v>-12.94</v>
      </c>
      <c r="Q476" s="11">
        <v>1390.97</v>
      </c>
      <c r="R476" s="11">
        <v>-19.94</v>
      </c>
      <c r="S476" s="12">
        <v>0.89</v>
      </c>
      <c r="T476" s="13">
        <f t="shared" si="1"/>
        <v>1371.92</v>
      </c>
      <c r="U476" s="14">
        <f t="shared" si="2"/>
        <v>4.62</v>
      </c>
      <c r="V476" s="14">
        <f t="shared" si="3"/>
        <v>0.08553100233</v>
      </c>
      <c r="W476" s="15" t="str">
        <f t="shared" si="4"/>
        <v/>
      </c>
      <c r="X476" s="11">
        <f t="shared" si="5"/>
        <v>1371.988</v>
      </c>
      <c r="Y476" s="14">
        <f t="shared" si="6"/>
        <v>-0.068</v>
      </c>
      <c r="Z476" s="25"/>
      <c r="AA476" s="21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</row>
    <row r="477">
      <c r="A477" s="7"/>
      <c r="B477" s="7"/>
      <c r="C477" s="7"/>
      <c r="D477" s="7"/>
      <c r="E477" s="7"/>
      <c r="F477" s="7" t="s">
        <v>22</v>
      </c>
      <c r="G477" s="8">
        <v>2110.0</v>
      </c>
      <c r="H477" s="9">
        <v>39.2270841667</v>
      </c>
      <c r="I477" s="9">
        <v>-112.786951389</v>
      </c>
      <c r="J477" s="10">
        <v>1375.91</v>
      </c>
      <c r="K477" s="11">
        <v>10517.949</v>
      </c>
      <c r="L477" s="11">
        <v>-7747.593</v>
      </c>
      <c r="M477" s="11">
        <v>-7.512</v>
      </c>
      <c r="N477" s="11">
        <v>10517.94</v>
      </c>
      <c r="O477" s="11">
        <v>-7747.587</v>
      </c>
      <c r="P477" s="11">
        <v>-12.822</v>
      </c>
      <c r="Q477" s="11">
        <v>1389.53</v>
      </c>
      <c r="R477" s="11">
        <v>-19.928</v>
      </c>
      <c r="S477" s="12">
        <v>0.89</v>
      </c>
      <c r="T477" s="13">
        <f t="shared" si="1"/>
        <v>1370.492</v>
      </c>
      <c r="U477" s="14">
        <f t="shared" si="2"/>
        <v>5.418</v>
      </c>
      <c r="V477" s="14">
        <f t="shared" si="3"/>
        <v>1.089262471</v>
      </c>
      <c r="W477" s="15" t="str">
        <f t="shared" si="4"/>
        <v/>
      </c>
      <c r="X477" s="11">
        <f t="shared" si="5"/>
        <v>1371.358</v>
      </c>
      <c r="Y477" s="14">
        <f t="shared" si="6"/>
        <v>-0.866</v>
      </c>
      <c r="Z477" s="25"/>
      <c r="AA477" s="21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</row>
    <row r="478">
      <c r="A478" s="7"/>
      <c r="B478" s="7"/>
      <c r="C478" s="7"/>
      <c r="D478" s="7"/>
      <c r="E478" s="7"/>
      <c r="F478" s="7" t="s">
        <v>22</v>
      </c>
      <c r="G478" s="8">
        <v>2111.0</v>
      </c>
      <c r="H478" s="9">
        <v>39.2379552778</v>
      </c>
      <c r="I478" s="9">
        <v>-112.78702</v>
      </c>
      <c r="J478" s="10">
        <v>1378.55</v>
      </c>
      <c r="K478" s="11">
        <v>10510.372</v>
      </c>
      <c r="L478" s="11">
        <v>-6540.447</v>
      </c>
      <c r="M478" s="11">
        <v>-3.504</v>
      </c>
      <c r="N478" s="11">
        <v>10510.362</v>
      </c>
      <c r="O478" s="11">
        <v>-6540.441</v>
      </c>
      <c r="P478" s="11">
        <v>-9.544</v>
      </c>
      <c r="Q478" s="11">
        <v>1391.43</v>
      </c>
      <c r="R478" s="11">
        <v>-19.916</v>
      </c>
      <c r="S478" s="12">
        <v>0.89</v>
      </c>
      <c r="T478" s="13">
        <f t="shared" si="1"/>
        <v>1372.404</v>
      </c>
      <c r="U478" s="14">
        <f t="shared" si="2"/>
        <v>6.146</v>
      </c>
      <c r="V478" s="14">
        <f t="shared" si="3"/>
        <v>2.004947319</v>
      </c>
      <c r="W478" s="15" t="str">
        <f t="shared" si="4"/>
        <v/>
      </c>
      <c r="X478" s="11">
        <f t="shared" si="5"/>
        <v>1373.998</v>
      </c>
      <c r="Y478" s="14">
        <f t="shared" si="6"/>
        <v>-1.594</v>
      </c>
      <c r="Z478" s="25"/>
      <c r="AA478" s="21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</row>
    <row r="479">
      <c r="A479" s="7"/>
      <c r="B479" s="7"/>
      <c r="C479" s="7"/>
      <c r="D479" s="7"/>
      <c r="E479" s="7"/>
      <c r="F479" s="7" t="s">
        <v>22</v>
      </c>
      <c r="G479" s="8">
        <v>2112.0</v>
      </c>
      <c r="H479" s="9">
        <v>39.2489805556</v>
      </c>
      <c r="I479" s="9">
        <v>-112.787221944</v>
      </c>
      <c r="J479" s="10">
        <v>1377.72</v>
      </c>
      <c r="K479" s="11">
        <v>10491.284</v>
      </c>
      <c r="L479" s="11">
        <v>-5316.098</v>
      </c>
      <c r="M479" s="11">
        <v>-3.162</v>
      </c>
      <c r="N479" s="11">
        <v>10491.277</v>
      </c>
      <c r="O479" s="11">
        <v>-5316.094</v>
      </c>
      <c r="P479" s="11">
        <v>-7.782</v>
      </c>
      <c r="Q479" s="11">
        <v>1392.0</v>
      </c>
      <c r="R479" s="11">
        <v>-19.905</v>
      </c>
      <c r="S479" s="12">
        <v>0.89</v>
      </c>
      <c r="T479" s="13">
        <f t="shared" si="1"/>
        <v>1372.985</v>
      </c>
      <c r="U479" s="14">
        <f t="shared" si="2"/>
        <v>4.735</v>
      </c>
      <c r="V479" s="14">
        <f t="shared" si="3"/>
        <v>0.230179021</v>
      </c>
      <c r="W479" s="15" t="str">
        <f t="shared" si="4"/>
        <v/>
      </c>
      <c r="X479" s="11">
        <f t="shared" si="5"/>
        <v>1373.168</v>
      </c>
      <c r="Y479" s="14">
        <f t="shared" si="6"/>
        <v>-0.183</v>
      </c>
      <c r="Z479" s="25"/>
      <c r="AA479" s="21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</row>
    <row r="480">
      <c r="A480" s="7"/>
      <c r="B480" s="7"/>
      <c r="C480" s="7"/>
      <c r="D480" s="7"/>
      <c r="E480" s="7"/>
      <c r="F480" s="7" t="s">
        <v>22</v>
      </c>
      <c r="G480" s="8">
        <v>2113.0</v>
      </c>
      <c r="H480" s="9">
        <v>39.2595502778</v>
      </c>
      <c r="I480" s="9">
        <v>-112.786968333</v>
      </c>
      <c r="J480" s="10">
        <v>1376.83</v>
      </c>
      <c r="K480" s="11">
        <v>10511.635</v>
      </c>
      <c r="L480" s="11">
        <v>-4142.442</v>
      </c>
      <c r="M480" s="11">
        <v>-3.213</v>
      </c>
      <c r="N480" s="11">
        <v>10511.629</v>
      </c>
      <c r="O480" s="11">
        <v>-4142.439</v>
      </c>
      <c r="P480" s="11">
        <v>-7.043</v>
      </c>
      <c r="Q480" s="11">
        <v>1391.89</v>
      </c>
      <c r="R480" s="11">
        <v>-19.895</v>
      </c>
      <c r="S480" s="12">
        <v>0.89</v>
      </c>
      <c r="T480" s="13">
        <f t="shared" si="1"/>
        <v>1372.885</v>
      </c>
      <c r="U480" s="14">
        <f t="shared" si="2"/>
        <v>3.945</v>
      </c>
      <c r="V480" s="14">
        <f t="shared" si="3"/>
        <v>-0.7634899767</v>
      </c>
      <c r="W480" s="15" t="str">
        <f t="shared" si="4"/>
        <v/>
      </c>
      <c r="X480" s="11">
        <f t="shared" si="5"/>
        <v>1372.278</v>
      </c>
      <c r="Y480" s="14">
        <f t="shared" si="6"/>
        <v>0.607</v>
      </c>
      <c r="Z480" s="25"/>
      <c r="AA480" s="21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</row>
    <row r="481">
      <c r="A481" s="7"/>
      <c r="B481" s="7"/>
      <c r="C481" s="7"/>
      <c r="D481" s="7"/>
      <c r="E481" s="7"/>
      <c r="F481" s="7" t="s">
        <v>22</v>
      </c>
      <c r="G481" s="8">
        <v>2114.0</v>
      </c>
      <c r="H481" s="9">
        <v>39.27037</v>
      </c>
      <c r="I481" s="9">
        <v>-112.786958889</v>
      </c>
      <c r="J481" s="10">
        <v>1376.08</v>
      </c>
      <c r="K481" s="11">
        <v>10510.795</v>
      </c>
      <c r="L481" s="11">
        <v>-2940.939</v>
      </c>
      <c r="M481" s="11">
        <v>-3.293</v>
      </c>
      <c r="N481" s="11">
        <v>10510.786</v>
      </c>
      <c r="O481" s="11">
        <v>-2940.937</v>
      </c>
      <c r="P481" s="11">
        <v>-8.773</v>
      </c>
      <c r="Q481" s="11">
        <v>1389.48</v>
      </c>
      <c r="R481" s="11">
        <v>-19.885</v>
      </c>
      <c r="S481" s="12">
        <v>0.89</v>
      </c>
      <c r="T481" s="13">
        <f t="shared" si="1"/>
        <v>1370.485</v>
      </c>
      <c r="U481" s="14">
        <f t="shared" si="2"/>
        <v>5.595</v>
      </c>
      <c r="V481" s="14">
        <f t="shared" si="3"/>
        <v>1.311894639</v>
      </c>
      <c r="W481" s="15" t="str">
        <f t="shared" si="4"/>
        <v/>
      </c>
      <c r="X481" s="11">
        <f t="shared" si="5"/>
        <v>1371.528</v>
      </c>
      <c r="Y481" s="14">
        <f t="shared" si="6"/>
        <v>-1.043</v>
      </c>
      <c r="Z481" s="25"/>
      <c r="AA481" s="21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</row>
    <row r="482">
      <c r="A482" s="7"/>
      <c r="B482" s="7"/>
      <c r="C482" s="7"/>
      <c r="D482" s="7"/>
      <c r="E482" s="7"/>
      <c r="F482" s="7" t="s">
        <v>22</v>
      </c>
      <c r="G482" s="8">
        <v>2115.0</v>
      </c>
      <c r="H482" s="9">
        <v>39.2813247222</v>
      </c>
      <c r="I482" s="9">
        <v>-112.787546667</v>
      </c>
      <c r="J482" s="10">
        <v>1377.38</v>
      </c>
      <c r="K482" s="11">
        <v>10458.415</v>
      </c>
      <c r="L482" s="11">
        <v>-1724.513</v>
      </c>
      <c r="M482" s="11">
        <v>-1.461</v>
      </c>
      <c r="N482" s="11">
        <v>10458.407</v>
      </c>
      <c r="O482" s="11">
        <v>-1724.512</v>
      </c>
      <c r="P482" s="11">
        <v>-6.301</v>
      </c>
      <c r="Q482" s="11">
        <v>1391.41</v>
      </c>
      <c r="R482" s="11">
        <v>-19.875</v>
      </c>
      <c r="S482" s="12">
        <v>0.89</v>
      </c>
      <c r="T482" s="13">
        <f t="shared" si="1"/>
        <v>1372.425</v>
      </c>
      <c r="U482" s="14">
        <f t="shared" si="2"/>
        <v>4.955</v>
      </c>
      <c r="V482" s="14">
        <f t="shared" si="3"/>
        <v>0.5068969697</v>
      </c>
      <c r="W482" s="15" t="str">
        <f t="shared" si="4"/>
        <v/>
      </c>
      <c r="X482" s="11">
        <f t="shared" si="5"/>
        <v>1372.828</v>
      </c>
      <c r="Y482" s="14">
        <f t="shared" si="6"/>
        <v>-0.403</v>
      </c>
      <c r="Z482" s="25"/>
      <c r="AA482" s="21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</row>
    <row r="483">
      <c r="A483" s="7"/>
      <c r="B483" s="7"/>
      <c r="C483" s="7"/>
      <c r="D483" s="7"/>
      <c r="E483" s="7"/>
      <c r="F483" s="7" t="s">
        <v>22</v>
      </c>
      <c r="G483" s="8">
        <v>2116.0</v>
      </c>
      <c r="H483" s="9">
        <v>39.2920125</v>
      </c>
      <c r="I483" s="9">
        <v>-112.786890278</v>
      </c>
      <c r="J483" s="10">
        <v>1377.19</v>
      </c>
      <c r="K483" s="11">
        <v>10513.516</v>
      </c>
      <c r="L483" s="11">
        <v>-537.589</v>
      </c>
      <c r="M483" s="11">
        <v>-1.53</v>
      </c>
      <c r="N483" s="11">
        <v>10513.508</v>
      </c>
      <c r="O483" s="11">
        <v>-537.589</v>
      </c>
      <c r="P483" s="11">
        <v>-6.65</v>
      </c>
      <c r="Q483" s="11">
        <v>1390.94</v>
      </c>
      <c r="R483" s="11">
        <v>-19.866</v>
      </c>
      <c r="S483" s="12">
        <v>0.89</v>
      </c>
      <c r="T483" s="13">
        <f t="shared" si="1"/>
        <v>1371.964</v>
      </c>
      <c r="U483" s="14">
        <f t="shared" si="2"/>
        <v>5.226</v>
      </c>
      <c r="V483" s="14">
        <f t="shared" si="3"/>
        <v>0.8477631702</v>
      </c>
      <c r="W483" s="15" t="str">
        <f t="shared" si="4"/>
        <v/>
      </c>
      <c r="X483" s="11">
        <f t="shared" si="5"/>
        <v>1372.638</v>
      </c>
      <c r="Y483" s="14">
        <f t="shared" si="6"/>
        <v>-0.674</v>
      </c>
      <c r="Z483" s="25"/>
      <c r="AA483" s="21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</row>
    <row r="484">
      <c r="A484" s="7"/>
      <c r="B484" s="7"/>
      <c r="C484" s="7"/>
      <c r="D484" s="7"/>
      <c r="E484" s="7"/>
      <c r="F484" s="7" t="s">
        <v>22</v>
      </c>
      <c r="G484" s="8">
        <v>2117.0</v>
      </c>
      <c r="H484" s="9">
        <v>39.3028413889</v>
      </c>
      <c r="I484" s="9">
        <v>-112.786828889</v>
      </c>
      <c r="J484" s="10">
        <v>1376.52</v>
      </c>
      <c r="K484" s="11">
        <v>10517.159</v>
      </c>
      <c r="L484" s="11">
        <v>664.814</v>
      </c>
      <c r="M484" s="11">
        <v>-2.218</v>
      </c>
      <c r="N484" s="11">
        <v>10517.152</v>
      </c>
      <c r="O484" s="11">
        <v>664.814</v>
      </c>
      <c r="P484" s="11">
        <v>-6.058</v>
      </c>
      <c r="Q484" s="11">
        <v>1391.54</v>
      </c>
      <c r="R484" s="11">
        <v>-19.857</v>
      </c>
      <c r="S484" s="12">
        <v>0.89</v>
      </c>
      <c r="T484" s="13">
        <f t="shared" si="1"/>
        <v>1372.573</v>
      </c>
      <c r="U484" s="14">
        <f t="shared" si="2"/>
        <v>3.947</v>
      </c>
      <c r="V484" s="14">
        <f t="shared" si="3"/>
        <v>-0.760974359</v>
      </c>
      <c r="W484" s="15" t="str">
        <f t="shared" si="4"/>
        <v/>
      </c>
      <c r="X484" s="11">
        <f t="shared" si="5"/>
        <v>1371.968</v>
      </c>
      <c r="Y484" s="14">
        <f t="shared" si="6"/>
        <v>0.605</v>
      </c>
      <c r="Z484" s="25"/>
      <c r="AA484" s="21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</row>
    <row r="485">
      <c r="A485" s="7"/>
      <c r="B485" s="7"/>
      <c r="C485" s="7"/>
      <c r="D485" s="7"/>
      <c r="E485" s="7"/>
      <c r="F485" s="7" t="s">
        <v>22</v>
      </c>
      <c r="G485" s="8">
        <v>2118.0</v>
      </c>
      <c r="H485" s="9">
        <v>39.3136808333</v>
      </c>
      <c r="I485" s="9">
        <v>-112.786791667</v>
      </c>
      <c r="J485" s="10">
        <v>1377.72</v>
      </c>
      <c r="K485" s="11">
        <v>10518.73</v>
      </c>
      <c r="L485" s="11">
        <v>1868.55</v>
      </c>
      <c r="M485" s="11">
        <v>-1.261</v>
      </c>
      <c r="N485" s="11">
        <v>10518.723</v>
      </c>
      <c r="O485" s="11">
        <v>1868.548</v>
      </c>
      <c r="P485" s="11">
        <v>-5.221</v>
      </c>
      <c r="Q485" s="11">
        <v>1392.61</v>
      </c>
      <c r="R485" s="11">
        <v>-19.846</v>
      </c>
      <c r="S485" s="12">
        <v>0.89</v>
      </c>
      <c r="T485" s="13">
        <f t="shared" si="1"/>
        <v>1373.654</v>
      </c>
      <c r="U485" s="14">
        <f t="shared" si="2"/>
        <v>4.066</v>
      </c>
      <c r="V485" s="14">
        <f t="shared" si="3"/>
        <v>-0.6112951049</v>
      </c>
      <c r="W485" s="15" t="str">
        <f t="shared" si="4"/>
        <v/>
      </c>
      <c r="X485" s="11">
        <f t="shared" si="5"/>
        <v>1373.168</v>
      </c>
      <c r="Y485" s="14">
        <f t="shared" si="6"/>
        <v>0.486</v>
      </c>
      <c r="Z485" s="25"/>
      <c r="AA485" s="21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</row>
    <row r="486">
      <c r="A486" s="7"/>
      <c r="B486" s="7"/>
      <c r="C486" s="7"/>
      <c r="D486" s="7"/>
      <c r="E486" s="7"/>
      <c r="F486" s="7" t="s">
        <v>22</v>
      </c>
      <c r="G486" s="8">
        <v>2119.0</v>
      </c>
      <c r="H486" s="9">
        <v>39.3245172222</v>
      </c>
      <c r="I486" s="9">
        <v>-112.786806111</v>
      </c>
      <c r="J486" s="10">
        <v>1378.44</v>
      </c>
      <c r="K486" s="11">
        <v>10515.901</v>
      </c>
      <c r="L486" s="11">
        <v>3071.838</v>
      </c>
      <c r="M486" s="11">
        <v>-1.003</v>
      </c>
      <c r="N486" s="11">
        <v>10515.891</v>
      </c>
      <c r="O486" s="11">
        <v>3071.835</v>
      </c>
      <c r="P486" s="11">
        <v>-7.203</v>
      </c>
      <c r="Q486" s="11">
        <v>1391.07</v>
      </c>
      <c r="R486" s="11">
        <v>-19.834</v>
      </c>
      <c r="S486" s="12">
        <v>0.89</v>
      </c>
      <c r="T486" s="13">
        <f t="shared" si="1"/>
        <v>1372.126</v>
      </c>
      <c r="U486" s="14">
        <f t="shared" si="2"/>
        <v>6.314</v>
      </c>
      <c r="V486" s="14">
        <f t="shared" si="3"/>
        <v>2.216259207</v>
      </c>
      <c r="W486" s="15" t="str">
        <f t="shared" si="4"/>
        <v/>
      </c>
      <c r="X486" s="11">
        <f t="shared" si="5"/>
        <v>1373.888</v>
      </c>
      <c r="Y486" s="14">
        <f t="shared" si="6"/>
        <v>-1.762</v>
      </c>
      <c r="Z486" s="25"/>
      <c r="AA486" s="21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</row>
    <row r="487">
      <c r="A487" s="7"/>
      <c r="B487" s="7"/>
      <c r="C487" s="7"/>
      <c r="D487" s="7"/>
      <c r="E487" s="7"/>
      <c r="F487" s="7" t="s">
        <v>22</v>
      </c>
      <c r="G487" s="8">
        <v>2120.0</v>
      </c>
      <c r="H487" s="9">
        <v>39.3352977778</v>
      </c>
      <c r="I487" s="9">
        <v>-112.786720278</v>
      </c>
      <c r="J487" s="10">
        <v>1378.33</v>
      </c>
      <c r="K487" s="11">
        <v>10521.702</v>
      </c>
      <c r="L487" s="11">
        <v>4269.031</v>
      </c>
      <c r="M487" s="11">
        <v>-1.813</v>
      </c>
      <c r="N487" s="11">
        <v>10521.694</v>
      </c>
      <c r="O487" s="11">
        <v>4269.028</v>
      </c>
      <c r="P487" s="11">
        <v>-6.633</v>
      </c>
      <c r="Q487" s="11">
        <v>1392.33</v>
      </c>
      <c r="R487" s="11">
        <v>-19.819</v>
      </c>
      <c r="S487" s="12">
        <v>0.89</v>
      </c>
      <c r="T487" s="13">
        <f t="shared" si="1"/>
        <v>1373.401</v>
      </c>
      <c r="U487" s="14">
        <f t="shared" si="2"/>
        <v>4.929</v>
      </c>
      <c r="V487" s="14">
        <f t="shared" si="3"/>
        <v>0.4741939394</v>
      </c>
      <c r="W487" s="15" t="str">
        <f t="shared" si="4"/>
        <v/>
      </c>
      <c r="X487" s="11">
        <f t="shared" si="5"/>
        <v>1373.778</v>
      </c>
      <c r="Y487" s="14">
        <f t="shared" si="6"/>
        <v>-0.377</v>
      </c>
      <c r="Z487" s="25"/>
      <c r="AA487" s="21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</row>
    <row r="488">
      <c r="A488" s="7"/>
      <c r="B488" s="7"/>
      <c r="C488" s="7"/>
      <c r="D488" s="7"/>
      <c r="E488" s="7"/>
      <c r="F488" s="7" t="s">
        <v>22</v>
      </c>
      <c r="G488" s="8">
        <v>2121.0</v>
      </c>
      <c r="H488" s="9">
        <v>39.3455227778</v>
      </c>
      <c r="I488" s="9">
        <v>-112.786665833</v>
      </c>
      <c r="J488" s="10">
        <v>1379.14</v>
      </c>
      <c r="K488" s="11">
        <v>10524.827</v>
      </c>
      <c r="L488" s="11">
        <v>5404.483</v>
      </c>
      <c r="M488" s="11">
        <v>-1.872</v>
      </c>
      <c r="N488" s="11">
        <v>10524.819</v>
      </c>
      <c r="O488" s="11">
        <v>5404.479</v>
      </c>
      <c r="P488" s="11">
        <v>-6.522</v>
      </c>
      <c r="Q488" s="11">
        <v>1393.29</v>
      </c>
      <c r="R488" s="11">
        <v>-19.805</v>
      </c>
      <c r="S488" s="12">
        <v>0.89</v>
      </c>
      <c r="T488" s="13">
        <f t="shared" si="1"/>
        <v>1374.375</v>
      </c>
      <c r="U488" s="14">
        <f t="shared" si="2"/>
        <v>4.765</v>
      </c>
      <c r="V488" s="14">
        <f t="shared" si="3"/>
        <v>0.2679132867</v>
      </c>
      <c r="W488" s="15" t="str">
        <f t="shared" si="4"/>
        <v/>
      </c>
      <c r="X488" s="11">
        <f t="shared" si="5"/>
        <v>1374.588</v>
      </c>
      <c r="Y488" s="14">
        <f t="shared" si="6"/>
        <v>-0.213</v>
      </c>
      <c r="Z488" s="25"/>
      <c r="AA488" s="21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</row>
    <row r="489">
      <c r="A489" s="7"/>
      <c r="B489" s="7"/>
      <c r="C489" s="7"/>
      <c r="D489" s="7"/>
      <c r="E489" s="7"/>
      <c r="F489" s="7" t="s">
        <v>22</v>
      </c>
      <c r="G489" s="8">
        <v>2122.0</v>
      </c>
      <c r="H489" s="9">
        <v>39.3568327778</v>
      </c>
      <c r="I489" s="9">
        <v>-112.786415278</v>
      </c>
      <c r="J489" s="10">
        <v>1380.0</v>
      </c>
      <c r="K489" s="11">
        <v>10544.77</v>
      </c>
      <c r="L489" s="11">
        <v>6660.444</v>
      </c>
      <c r="M489" s="11">
        <v>-2.235</v>
      </c>
      <c r="N489" s="11">
        <v>10544.762</v>
      </c>
      <c r="O489" s="11">
        <v>6660.439</v>
      </c>
      <c r="P489" s="11">
        <v>-7.035</v>
      </c>
      <c r="Q489" s="11">
        <v>1393.99</v>
      </c>
      <c r="R489" s="11">
        <v>-19.786</v>
      </c>
      <c r="S489" s="12">
        <v>0.89</v>
      </c>
      <c r="T489" s="13">
        <f t="shared" si="1"/>
        <v>1375.094</v>
      </c>
      <c r="U489" s="14">
        <f t="shared" si="2"/>
        <v>4.906</v>
      </c>
      <c r="V489" s="14">
        <f t="shared" si="3"/>
        <v>0.4452643357</v>
      </c>
      <c r="W489" s="15" t="str">
        <f t="shared" si="4"/>
        <v/>
      </c>
      <c r="X489" s="11">
        <f t="shared" si="5"/>
        <v>1375.448</v>
      </c>
      <c r="Y489" s="14">
        <f t="shared" si="6"/>
        <v>-0.354</v>
      </c>
      <c r="Z489" s="25"/>
      <c r="AA489" s="21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</row>
    <row r="490">
      <c r="A490" s="7"/>
      <c r="B490" s="7"/>
      <c r="C490" s="7"/>
      <c r="D490" s="7"/>
      <c r="E490" s="7"/>
      <c r="F490" s="7" t="s">
        <v>22</v>
      </c>
      <c r="G490" s="8">
        <v>2123.0</v>
      </c>
      <c r="H490" s="9">
        <v>39.3668538889</v>
      </c>
      <c r="I490" s="9">
        <v>-112.785456667</v>
      </c>
      <c r="J490" s="10">
        <v>1380.66</v>
      </c>
      <c r="K490" s="11">
        <v>10625.84</v>
      </c>
      <c r="L490" s="11">
        <v>7773.352</v>
      </c>
      <c r="M490" s="11">
        <v>-2.972</v>
      </c>
      <c r="N490" s="11">
        <v>10625.833</v>
      </c>
      <c r="O490" s="11">
        <v>7773.347</v>
      </c>
      <c r="P490" s="11">
        <v>-7.052</v>
      </c>
      <c r="Q490" s="11">
        <v>1395.35</v>
      </c>
      <c r="R490" s="11">
        <v>-19.768</v>
      </c>
      <c r="S490" s="12">
        <v>0.89</v>
      </c>
      <c r="T490" s="13">
        <f t="shared" si="1"/>
        <v>1376.472</v>
      </c>
      <c r="U490" s="14">
        <f t="shared" si="2"/>
        <v>4.188</v>
      </c>
      <c r="V490" s="14">
        <f t="shared" si="3"/>
        <v>-0.4578424242</v>
      </c>
      <c r="W490" s="15" t="str">
        <f t="shared" si="4"/>
        <v/>
      </c>
      <c r="X490" s="11">
        <f t="shared" si="5"/>
        <v>1376.108</v>
      </c>
      <c r="Y490" s="14">
        <f t="shared" si="6"/>
        <v>0.364</v>
      </c>
      <c r="Z490" s="25"/>
      <c r="AA490" s="21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</row>
    <row r="491">
      <c r="A491" s="7"/>
      <c r="B491" s="7"/>
      <c r="C491" s="7"/>
      <c r="D491" s="7"/>
      <c r="E491" s="7"/>
      <c r="F491" s="7" t="s">
        <v>22</v>
      </c>
      <c r="G491" s="8">
        <v>2206.0</v>
      </c>
      <c r="H491" s="9">
        <v>39.1837886111</v>
      </c>
      <c r="I491" s="9">
        <v>-112.7733275</v>
      </c>
      <c r="J491" s="10">
        <v>1383.47</v>
      </c>
      <c r="K491" s="11">
        <v>11701.725</v>
      </c>
      <c r="L491" s="11">
        <v>-12553.549</v>
      </c>
      <c r="M491" s="11">
        <v>-9.678</v>
      </c>
      <c r="N491" s="11">
        <v>11701.715</v>
      </c>
      <c r="O491" s="11">
        <v>-12553.539</v>
      </c>
      <c r="P491" s="11">
        <v>-14.808</v>
      </c>
      <c r="Q491" s="11">
        <v>1397.33</v>
      </c>
      <c r="R491" s="11">
        <v>-19.986</v>
      </c>
      <c r="S491" s="12">
        <v>0.89</v>
      </c>
      <c r="T491" s="13">
        <f t="shared" si="1"/>
        <v>1378.234</v>
      </c>
      <c r="U491" s="14">
        <f t="shared" si="2"/>
        <v>5.236</v>
      </c>
      <c r="V491" s="14">
        <f t="shared" si="3"/>
        <v>0.8603412587</v>
      </c>
      <c r="W491" s="15" t="str">
        <f t="shared" si="4"/>
        <v/>
      </c>
      <c r="X491" s="11">
        <f t="shared" si="5"/>
        <v>1378.918</v>
      </c>
      <c r="Y491" s="14">
        <f t="shared" si="6"/>
        <v>-0.684</v>
      </c>
      <c r="Z491" s="25"/>
      <c r="AA491" s="21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</row>
    <row r="492">
      <c r="A492" s="7"/>
      <c r="B492" s="7"/>
      <c r="C492" s="7"/>
      <c r="D492" s="7"/>
      <c r="E492" s="7"/>
      <c r="F492" s="7" t="s">
        <v>22</v>
      </c>
      <c r="G492" s="8">
        <v>2207.0</v>
      </c>
      <c r="H492" s="9">
        <v>39.1946719444</v>
      </c>
      <c r="I492" s="9">
        <v>-112.771623889</v>
      </c>
      <c r="J492" s="10">
        <v>1444.81</v>
      </c>
      <c r="K492" s="11">
        <v>11847.271</v>
      </c>
      <c r="L492" s="11">
        <v>-11344.956</v>
      </c>
      <c r="M492" s="11">
        <v>53.663</v>
      </c>
      <c r="N492" s="11">
        <v>11847.262</v>
      </c>
      <c r="O492" s="11">
        <v>-11344.947</v>
      </c>
      <c r="P492" s="11">
        <v>48.423</v>
      </c>
      <c r="Q492" s="11">
        <v>1458.54</v>
      </c>
      <c r="R492" s="11">
        <v>-19.968</v>
      </c>
      <c r="S492" s="12">
        <v>0.89</v>
      </c>
      <c r="T492" s="13">
        <f t="shared" si="1"/>
        <v>1439.462</v>
      </c>
      <c r="U492" s="14">
        <f t="shared" si="2"/>
        <v>5.348</v>
      </c>
      <c r="V492" s="14">
        <f t="shared" si="3"/>
        <v>1.001215851</v>
      </c>
      <c r="W492" s="15" t="str">
        <f t="shared" si="4"/>
        <v/>
      </c>
      <c r="X492" s="11">
        <f t="shared" si="5"/>
        <v>1440.258</v>
      </c>
      <c r="Y492" s="14">
        <f t="shared" si="6"/>
        <v>-0.796</v>
      </c>
      <c r="Z492" s="25"/>
      <c r="AA492" s="21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</row>
    <row r="493">
      <c r="A493" s="7"/>
      <c r="B493" s="7"/>
      <c r="C493" s="7"/>
      <c r="D493" s="7"/>
      <c r="E493" s="7"/>
      <c r="F493" s="7" t="s">
        <v>22</v>
      </c>
      <c r="G493" s="8">
        <v>2208.0</v>
      </c>
      <c r="H493" s="9">
        <v>39.2031869444</v>
      </c>
      <c r="I493" s="9">
        <v>-112.772200556</v>
      </c>
      <c r="J493" s="10">
        <v>1458.68</v>
      </c>
      <c r="K493" s="11">
        <v>11796.016</v>
      </c>
      <c r="L493" s="11">
        <v>-10399.513</v>
      </c>
      <c r="M493" s="11">
        <v>69.244</v>
      </c>
      <c r="N493" s="11">
        <v>11796.007</v>
      </c>
      <c r="O493" s="11">
        <v>-10399.505</v>
      </c>
      <c r="P493" s="11">
        <v>64.574</v>
      </c>
      <c r="Q493" s="11">
        <v>1472.97</v>
      </c>
      <c r="R493" s="11">
        <v>-19.956</v>
      </c>
      <c r="S493" s="12">
        <v>0.89</v>
      </c>
      <c r="T493" s="13">
        <f t="shared" si="1"/>
        <v>1453.904</v>
      </c>
      <c r="U493" s="14">
        <f t="shared" si="2"/>
        <v>4.776</v>
      </c>
      <c r="V493" s="14">
        <f t="shared" si="3"/>
        <v>0.2817491841</v>
      </c>
      <c r="W493" s="15" t="str">
        <f t="shared" si="4"/>
        <v/>
      </c>
      <c r="X493" s="11">
        <f t="shared" si="5"/>
        <v>1454.128</v>
      </c>
      <c r="Y493" s="14">
        <f t="shared" si="6"/>
        <v>-0.224</v>
      </c>
      <c r="Z493" s="25"/>
      <c r="AA493" s="21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</row>
    <row r="494">
      <c r="A494" s="7"/>
      <c r="B494" s="7"/>
      <c r="C494" s="7"/>
      <c r="D494" s="7"/>
      <c r="E494" s="7"/>
      <c r="F494" s="7" t="s">
        <v>22</v>
      </c>
      <c r="G494" s="8">
        <v>2209.0</v>
      </c>
      <c r="H494" s="9">
        <v>39.2163144444</v>
      </c>
      <c r="I494" s="9">
        <v>-112.773225833</v>
      </c>
      <c r="J494" s="10">
        <v>1378.96</v>
      </c>
      <c r="K494" s="11">
        <v>11705.133</v>
      </c>
      <c r="L494" s="11">
        <v>-8941.85</v>
      </c>
      <c r="M494" s="11">
        <v>-8.093</v>
      </c>
      <c r="N494" s="11">
        <v>11705.123</v>
      </c>
      <c r="O494" s="11">
        <v>-8941.843</v>
      </c>
      <c r="P494" s="11">
        <v>-13.283</v>
      </c>
      <c r="Q494" s="11">
        <v>1392.71</v>
      </c>
      <c r="R494" s="11">
        <v>-19.942</v>
      </c>
      <c r="S494" s="12">
        <v>0.89</v>
      </c>
      <c r="T494" s="13">
        <f t="shared" si="1"/>
        <v>1373.658</v>
      </c>
      <c r="U494" s="14">
        <f t="shared" si="2"/>
        <v>5.302</v>
      </c>
      <c r="V494" s="14">
        <f t="shared" si="3"/>
        <v>0.9433566434</v>
      </c>
      <c r="W494" s="15" t="str">
        <f t="shared" si="4"/>
        <v/>
      </c>
      <c r="X494" s="11">
        <f t="shared" si="5"/>
        <v>1374.408</v>
      </c>
      <c r="Y494" s="14">
        <f t="shared" si="6"/>
        <v>-0.75</v>
      </c>
      <c r="Z494" s="25"/>
      <c r="AA494" s="21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</row>
    <row r="495">
      <c r="A495" s="7"/>
      <c r="B495" s="7"/>
      <c r="C495" s="7"/>
      <c r="D495" s="7"/>
      <c r="E495" s="7"/>
      <c r="F495" s="7" t="s">
        <v>22</v>
      </c>
      <c r="G495" s="8">
        <v>2210.0</v>
      </c>
      <c r="H495" s="9">
        <v>39.2270511111</v>
      </c>
      <c r="I495" s="9">
        <v>-112.773178611</v>
      </c>
      <c r="J495" s="10">
        <v>1375.5</v>
      </c>
      <c r="K495" s="11">
        <v>11707.403</v>
      </c>
      <c r="L495" s="11">
        <v>-7749.565</v>
      </c>
      <c r="M495" s="11">
        <v>-9.994</v>
      </c>
      <c r="N495" s="11">
        <v>11707.396</v>
      </c>
      <c r="O495" s="11">
        <v>-7749.561</v>
      </c>
      <c r="P495" s="11">
        <v>-13.904</v>
      </c>
      <c r="Q495" s="11">
        <v>1390.52</v>
      </c>
      <c r="R495" s="11">
        <v>-19.931</v>
      </c>
      <c r="S495" s="12">
        <v>0.89</v>
      </c>
      <c r="T495" s="13">
        <f t="shared" si="1"/>
        <v>1371.479</v>
      </c>
      <c r="U495" s="14">
        <f t="shared" si="2"/>
        <v>4.021</v>
      </c>
      <c r="V495" s="14">
        <f t="shared" si="3"/>
        <v>-0.6678965035</v>
      </c>
      <c r="W495" s="15" t="str">
        <f t="shared" si="4"/>
        <v/>
      </c>
      <c r="X495" s="11">
        <f t="shared" si="5"/>
        <v>1370.948</v>
      </c>
      <c r="Y495" s="14">
        <f t="shared" si="6"/>
        <v>0.531</v>
      </c>
      <c r="Z495" s="25"/>
      <c r="AA495" s="21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</row>
    <row r="496">
      <c r="A496" s="7"/>
      <c r="B496" s="7"/>
      <c r="C496" s="7"/>
      <c r="D496" s="7"/>
      <c r="E496" s="7"/>
      <c r="F496" s="7" t="s">
        <v>22</v>
      </c>
      <c r="G496" s="8">
        <v>2211.0</v>
      </c>
      <c r="H496" s="9">
        <v>39.2379369444</v>
      </c>
      <c r="I496" s="9">
        <v>-112.77314</v>
      </c>
      <c r="J496" s="10">
        <v>1378.06</v>
      </c>
      <c r="K496" s="11">
        <v>11708.966</v>
      </c>
      <c r="L496" s="11">
        <v>-6540.741</v>
      </c>
      <c r="M496" s="11">
        <v>-6.079</v>
      </c>
      <c r="N496" s="11">
        <v>11708.955</v>
      </c>
      <c r="O496" s="11">
        <v>-6540.735</v>
      </c>
      <c r="P496" s="11">
        <v>-12.089</v>
      </c>
      <c r="Q496" s="11">
        <v>1390.97</v>
      </c>
      <c r="R496" s="11">
        <v>-19.92</v>
      </c>
      <c r="S496" s="12">
        <v>0.89</v>
      </c>
      <c r="T496" s="13">
        <f t="shared" si="1"/>
        <v>1371.94</v>
      </c>
      <c r="U496" s="14">
        <f t="shared" si="2"/>
        <v>6.12</v>
      </c>
      <c r="V496" s="14">
        <f t="shared" si="3"/>
        <v>1.972244289</v>
      </c>
      <c r="W496" s="15" t="str">
        <f t="shared" si="4"/>
        <v/>
      </c>
      <c r="X496" s="11">
        <f t="shared" si="5"/>
        <v>1373.508</v>
      </c>
      <c r="Y496" s="14">
        <f t="shared" si="6"/>
        <v>-1.568</v>
      </c>
      <c r="Z496" s="25"/>
      <c r="AA496" s="21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</row>
    <row r="497">
      <c r="A497" s="7"/>
      <c r="B497" s="7"/>
      <c r="C497" s="7"/>
      <c r="D497" s="7"/>
      <c r="E497" s="7"/>
      <c r="F497" s="7" t="s">
        <v>22</v>
      </c>
      <c r="G497" s="8">
        <v>2212.0</v>
      </c>
      <c r="H497" s="9">
        <v>39.2492547222</v>
      </c>
      <c r="I497" s="9">
        <v>-112.774620833</v>
      </c>
      <c r="J497" s="10">
        <v>1376.54</v>
      </c>
      <c r="K497" s="11">
        <v>11579.212</v>
      </c>
      <c r="L497" s="11">
        <v>-5284.134</v>
      </c>
      <c r="M497" s="11">
        <v>-6.195</v>
      </c>
      <c r="N497" s="11">
        <v>11579.205</v>
      </c>
      <c r="O497" s="11">
        <v>-5284.131</v>
      </c>
      <c r="P497" s="11">
        <v>-10.415</v>
      </c>
      <c r="Q497" s="11">
        <v>1391.23</v>
      </c>
      <c r="R497" s="11">
        <v>-19.908</v>
      </c>
      <c r="S497" s="12">
        <v>0.89</v>
      </c>
      <c r="T497" s="13">
        <f t="shared" si="1"/>
        <v>1372.212</v>
      </c>
      <c r="U497" s="14">
        <f t="shared" si="2"/>
        <v>4.328</v>
      </c>
      <c r="V497" s="14">
        <f t="shared" si="3"/>
        <v>-0.2817491841</v>
      </c>
      <c r="W497" s="15" t="str">
        <f t="shared" si="4"/>
        <v/>
      </c>
      <c r="X497" s="11">
        <f t="shared" si="5"/>
        <v>1371.988</v>
      </c>
      <c r="Y497" s="14">
        <f t="shared" si="6"/>
        <v>0.224</v>
      </c>
      <c r="Z497" s="25"/>
      <c r="AA497" s="21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</row>
    <row r="498">
      <c r="A498" s="7"/>
      <c r="B498" s="7"/>
      <c r="C498" s="7"/>
      <c r="D498" s="7"/>
      <c r="E498" s="7"/>
      <c r="F498" s="7" t="s">
        <v>22</v>
      </c>
      <c r="G498" s="8">
        <v>2213.0</v>
      </c>
      <c r="H498" s="9">
        <v>39.2595138889</v>
      </c>
      <c r="I498" s="9">
        <v>-112.773069167</v>
      </c>
      <c r="J498" s="10">
        <v>1378.9</v>
      </c>
      <c r="K498" s="11">
        <v>11711.51</v>
      </c>
      <c r="L498" s="11">
        <v>-4144.733</v>
      </c>
      <c r="M498" s="11">
        <v>-3.232</v>
      </c>
      <c r="N498" s="11">
        <v>11711.5</v>
      </c>
      <c r="O498" s="11">
        <v>-4144.73</v>
      </c>
      <c r="P498" s="11">
        <v>-8.712</v>
      </c>
      <c r="Q498" s="11">
        <v>1392.32</v>
      </c>
      <c r="R498" s="11">
        <v>-19.898</v>
      </c>
      <c r="S498" s="12">
        <v>0.89</v>
      </c>
      <c r="T498" s="13">
        <f t="shared" si="1"/>
        <v>1373.312</v>
      </c>
      <c r="U498" s="14">
        <f t="shared" si="2"/>
        <v>5.588</v>
      </c>
      <c r="V498" s="14">
        <f t="shared" si="3"/>
        <v>1.303089977</v>
      </c>
      <c r="W498" s="15" t="str">
        <f t="shared" si="4"/>
        <v/>
      </c>
      <c r="X498" s="11">
        <f t="shared" si="5"/>
        <v>1374.348</v>
      </c>
      <c r="Y498" s="14">
        <f t="shared" si="6"/>
        <v>-1.036</v>
      </c>
      <c r="Z498" s="25"/>
      <c r="AA498" s="21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</row>
    <row r="499">
      <c r="A499" s="7"/>
      <c r="B499" s="7"/>
      <c r="C499" s="7"/>
      <c r="D499" s="7"/>
      <c r="E499" s="7"/>
      <c r="F499" s="7" t="s">
        <v>22</v>
      </c>
      <c r="G499" s="8">
        <v>2214.0</v>
      </c>
      <c r="H499" s="9">
        <v>39.2703266667</v>
      </c>
      <c r="I499" s="9">
        <v>-112.773033333</v>
      </c>
      <c r="J499" s="10">
        <v>1376.84</v>
      </c>
      <c r="K499" s="11">
        <v>11712.814</v>
      </c>
      <c r="L499" s="11">
        <v>-2944.004</v>
      </c>
      <c r="M499" s="11">
        <v>-4.625</v>
      </c>
      <c r="N499" s="11">
        <v>11712.805</v>
      </c>
      <c r="O499" s="11">
        <v>-2944.002</v>
      </c>
      <c r="P499" s="11">
        <v>-9.225</v>
      </c>
      <c r="Q499" s="11">
        <v>1391.13</v>
      </c>
      <c r="R499" s="11">
        <v>-19.887</v>
      </c>
      <c r="S499" s="12">
        <v>0.89</v>
      </c>
      <c r="T499" s="13">
        <f t="shared" si="1"/>
        <v>1372.133</v>
      </c>
      <c r="U499" s="14">
        <f t="shared" si="2"/>
        <v>4.707</v>
      </c>
      <c r="V499" s="14">
        <f t="shared" si="3"/>
        <v>0.194960373</v>
      </c>
      <c r="W499" s="15" t="str">
        <f t="shared" si="4"/>
        <v/>
      </c>
      <c r="X499" s="11">
        <f t="shared" si="5"/>
        <v>1372.288</v>
      </c>
      <c r="Y499" s="14">
        <f t="shared" si="6"/>
        <v>-0.155</v>
      </c>
      <c r="Z499" s="25"/>
      <c r="AA499" s="21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</row>
    <row r="500">
      <c r="A500" s="7"/>
      <c r="B500" s="7"/>
      <c r="C500" s="7"/>
      <c r="D500" s="7"/>
      <c r="E500" s="7"/>
      <c r="F500" s="7" t="s">
        <v>22</v>
      </c>
      <c r="G500" s="8">
        <v>2215.0</v>
      </c>
      <c r="H500" s="9">
        <v>39.2811791667</v>
      </c>
      <c r="I500" s="9">
        <v>-112.77232</v>
      </c>
      <c r="J500" s="10">
        <v>1378.23</v>
      </c>
      <c r="K500" s="11">
        <v>11772.542</v>
      </c>
      <c r="L500" s="11">
        <v>-1738.855</v>
      </c>
      <c r="M500" s="11">
        <v>-2.901</v>
      </c>
      <c r="N500" s="11">
        <v>11772.534</v>
      </c>
      <c r="O500" s="11">
        <v>-1738.854</v>
      </c>
      <c r="P500" s="11">
        <v>-7.551</v>
      </c>
      <c r="Q500" s="11">
        <v>1392.46</v>
      </c>
      <c r="R500" s="11">
        <v>-19.877</v>
      </c>
      <c r="S500" s="12">
        <v>0.89</v>
      </c>
      <c r="T500" s="13">
        <f t="shared" si="1"/>
        <v>1373.473</v>
      </c>
      <c r="U500" s="14">
        <f t="shared" si="2"/>
        <v>4.757</v>
      </c>
      <c r="V500" s="14">
        <f t="shared" si="3"/>
        <v>0.2578508159</v>
      </c>
      <c r="W500" s="15" t="str">
        <f t="shared" si="4"/>
        <v/>
      </c>
      <c r="X500" s="11">
        <f t="shared" si="5"/>
        <v>1373.678</v>
      </c>
      <c r="Y500" s="14">
        <f t="shared" si="6"/>
        <v>-0.205</v>
      </c>
      <c r="Z500" s="25"/>
      <c r="AA500" s="21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</row>
    <row r="501">
      <c r="A501" s="7"/>
      <c r="B501" s="7"/>
      <c r="C501" s="7"/>
      <c r="D501" s="7"/>
      <c r="E501" s="7"/>
      <c r="F501" s="7" t="s">
        <v>22</v>
      </c>
      <c r="G501" s="8">
        <v>2216.0</v>
      </c>
      <c r="H501" s="9">
        <v>39.2919769444</v>
      </c>
      <c r="I501" s="9">
        <v>-112.7729625</v>
      </c>
      <c r="J501" s="10">
        <v>1376.79</v>
      </c>
      <c r="K501" s="11">
        <v>11715.249</v>
      </c>
      <c r="L501" s="11">
        <v>-539.876</v>
      </c>
      <c r="M501" s="11">
        <v>-4.021</v>
      </c>
      <c r="N501" s="11">
        <v>11715.242</v>
      </c>
      <c r="O501" s="11">
        <v>-539.876</v>
      </c>
      <c r="P501" s="11">
        <v>-7.631</v>
      </c>
      <c r="Q501" s="11">
        <v>1392.05</v>
      </c>
      <c r="R501" s="11">
        <v>-19.867</v>
      </c>
      <c r="S501" s="12">
        <v>0.89</v>
      </c>
      <c r="T501" s="13">
        <f t="shared" si="1"/>
        <v>1373.073</v>
      </c>
      <c r="U501" s="14">
        <f t="shared" si="2"/>
        <v>3.717</v>
      </c>
      <c r="V501" s="14">
        <f t="shared" si="3"/>
        <v>-1.050270396</v>
      </c>
      <c r="W501" s="15" t="str">
        <f t="shared" si="4"/>
        <v/>
      </c>
      <c r="X501" s="11">
        <f t="shared" si="5"/>
        <v>1372.238</v>
      </c>
      <c r="Y501" s="14">
        <f t="shared" si="6"/>
        <v>0.835</v>
      </c>
      <c r="Z501" s="25"/>
      <c r="AA501" s="21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</row>
    <row r="502">
      <c r="A502" s="7"/>
      <c r="B502" s="7"/>
      <c r="C502" s="7"/>
      <c r="D502" s="7"/>
      <c r="E502" s="7"/>
      <c r="F502" s="7" t="s">
        <v>22</v>
      </c>
      <c r="G502" s="8">
        <v>2217.0</v>
      </c>
      <c r="H502" s="9">
        <v>39.3027808333</v>
      </c>
      <c r="I502" s="9">
        <v>-112.772915556</v>
      </c>
      <c r="J502" s="10">
        <v>1377.39</v>
      </c>
      <c r="K502" s="11">
        <v>11717.504</v>
      </c>
      <c r="L502" s="11">
        <v>659.861</v>
      </c>
      <c r="M502" s="11">
        <v>-3.437</v>
      </c>
      <c r="N502" s="11">
        <v>11717.497</v>
      </c>
      <c r="O502" s="11">
        <v>659.861</v>
      </c>
      <c r="P502" s="11">
        <v>-7.417</v>
      </c>
      <c r="Q502" s="11">
        <v>1392.27</v>
      </c>
      <c r="R502" s="11">
        <v>-19.857</v>
      </c>
      <c r="S502" s="12">
        <v>0.89</v>
      </c>
      <c r="T502" s="13">
        <f t="shared" si="1"/>
        <v>1373.303</v>
      </c>
      <c r="U502" s="14">
        <f t="shared" si="2"/>
        <v>4.087</v>
      </c>
      <c r="V502" s="14">
        <f t="shared" si="3"/>
        <v>-0.5848811189</v>
      </c>
      <c r="W502" s="15" t="str">
        <f t="shared" si="4"/>
        <v/>
      </c>
      <c r="X502" s="11">
        <f t="shared" si="5"/>
        <v>1372.838</v>
      </c>
      <c r="Y502" s="14">
        <f t="shared" si="6"/>
        <v>0.465</v>
      </c>
      <c r="Z502" s="25"/>
      <c r="AA502" s="21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</row>
    <row r="503">
      <c r="A503" s="7"/>
      <c r="B503" s="7"/>
      <c r="C503" s="7"/>
      <c r="D503" s="7"/>
      <c r="E503" s="7"/>
      <c r="F503" s="7" t="s">
        <v>22</v>
      </c>
      <c r="G503" s="8">
        <v>2218.0</v>
      </c>
      <c r="H503" s="9">
        <v>39.313575</v>
      </c>
      <c r="I503" s="9">
        <v>-112.772915833</v>
      </c>
      <c r="J503" s="10">
        <v>1377.7</v>
      </c>
      <c r="K503" s="11">
        <v>11715.705</v>
      </c>
      <c r="L503" s="11">
        <v>1858.484</v>
      </c>
      <c r="M503" s="11">
        <v>-3.361</v>
      </c>
      <c r="N503" s="11">
        <v>11715.698</v>
      </c>
      <c r="O503" s="11">
        <v>1858.483</v>
      </c>
      <c r="P503" s="11">
        <v>-7.341</v>
      </c>
      <c r="Q503" s="11">
        <v>1392.57</v>
      </c>
      <c r="R503" s="11">
        <v>-19.846</v>
      </c>
      <c r="S503" s="12">
        <v>0.89</v>
      </c>
      <c r="T503" s="13">
        <f t="shared" si="1"/>
        <v>1373.614</v>
      </c>
      <c r="U503" s="14">
        <f t="shared" si="2"/>
        <v>4.086</v>
      </c>
      <c r="V503" s="14">
        <f t="shared" si="3"/>
        <v>-0.5861389277</v>
      </c>
      <c r="W503" s="15" t="str">
        <f t="shared" si="4"/>
        <v/>
      </c>
      <c r="X503" s="11">
        <f t="shared" si="5"/>
        <v>1373.148</v>
      </c>
      <c r="Y503" s="14">
        <f t="shared" si="6"/>
        <v>0.466</v>
      </c>
      <c r="Z503" s="25"/>
      <c r="AA503" s="21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</row>
    <row r="504">
      <c r="A504" s="7"/>
      <c r="B504" s="7"/>
      <c r="C504" s="7"/>
      <c r="D504" s="7"/>
      <c r="E504" s="7"/>
      <c r="F504" s="7" t="s">
        <v>22</v>
      </c>
      <c r="G504" s="8">
        <v>2219.0</v>
      </c>
      <c r="H504" s="9">
        <v>39.3244844444</v>
      </c>
      <c r="I504" s="9">
        <v>-112.7730375</v>
      </c>
      <c r="J504" s="10">
        <v>1378.86</v>
      </c>
      <c r="K504" s="11">
        <v>11703.365</v>
      </c>
      <c r="L504" s="11">
        <v>3069.864</v>
      </c>
      <c r="M504" s="11">
        <v>-2.647</v>
      </c>
      <c r="N504" s="11">
        <v>11703.356</v>
      </c>
      <c r="O504" s="11">
        <v>3069.861</v>
      </c>
      <c r="P504" s="11">
        <v>-7.867</v>
      </c>
      <c r="Q504" s="11">
        <v>1392.47</v>
      </c>
      <c r="R504" s="11">
        <v>-19.833</v>
      </c>
      <c r="S504" s="12">
        <v>0.89</v>
      </c>
      <c r="T504" s="13">
        <f t="shared" si="1"/>
        <v>1373.527</v>
      </c>
      <c r="U504" s="14">
        <f t="shared" si="2"/>
        <v>5.333</v>
      </c>
      <c r="V504" s="14">
        <f t="shared" si="3"/>
        <v>0.9823487179</v>
      </c>
      <c r="W504" s="15" t="str">
        <f t="shared" si="4"/>
        <v/>
      </c>
      <c r="X504" s="11">
        <f t="shared" si="5"/>
        <v>1374.308</v>
      </c>
      <c r="Y504" s="14">
        <f t="shared" si="6"/>
        <v>-0.781</v>
      </c>
      <c r="Z504" s="25"/>
      <c r="AA504" s="21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</row>
    <row r="505">
      <c r="A505" s="7"/>
      <c r="B505" s="7"/>
      <c r="C505" s="7"/>
      <c r="D505" s="7"/>
      <c r="E505" s="7"/>
      <c r="F505" s="7" t="s">
        <v>22</v>
      </c>
      <c r="G505" s="8">
        <v>2220.0</v>
      </c>
      <c r="H505" s="9">
        <v>39.3352166667</v>
      </c>
      <c r="I505" s="9">
        <v>-112.772700833</v>
      </c>
      <c r="J505" s="10">
        <v>1379.07</v>
      </c>
      <c r="K505" s="11">
        <v>11730.638</v>
      </c>
      <c r="L505" s="11">
        <v>4261.761</v>
      </c>
      <c r="M505" s="11">
        <v>-3.174</v>
      </c>
      <c r="N505" s="11">
        <v>11730.633</v>
      </c>
      <c r="O505" s="11">
        <v>4261.76</v>
      </c>
      <c r="P505" s="11">
        <v>-5.814</v>
      </c>
      <c r="Q505" s="11">
        <v>1395.25</v>
      </c>
      <c r="R505" s="11">
        <v>-19.819</v>
      </c>
      <c r="S505" s="12">
        <v>0.89</v>
      </c>
      <c r="T505" s="13">
        <f t="shared" si="1"/>
        <v>1376.321</v>
      </c>
      <c r="U505" s="14">
        <f t="shared" si="2"/>
        <v>2.749</v>
      </c>
      <c r="V505" s="14">
        <f t="shared" si="3"/>
        <v>-2.267829371</v>
      </c>
      <c r="W505" s="15" t="str">
        <f t="shared" si="4"/>
        <v/>
      </c>
      <c r="X505" s="11">
        <f t="shared" si="5"/>
        <v>1374.518</v>
      </c>
      <c r="Y505" s="14">
        <f t="shared" si="6"/>
        <v>1.803</v>
      </c>
      <c r="Z505" s="25"/>
      <c r="AA505" s="21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</row>
    <row r="506">
      <c r="A506" s="7"/>
      <c r="B506" s="7"/>
      <c r="C506" s="7"/>
      <c r="D506" s="7"/>
      <c r="E506" s="7"/>
      <c r="F506" s="7" t="s">
        <v>22</v>
      </c>
      <c r="G506" s="8">
        <v>2307.0</v>
      </c>
      <c r="H506" s="9">
        <v>39.1945813889</v>
      </c>
      <c r="I506" s="9">
        <v>-112.7594075</v>
      </c>
      <c r="J506" s="10">
        <v>1446.2</v>
      </c>
      <c r="K506" s="11">
        <v>12902.849</v>
      </c>
      <c r="L506" s="11">
        <v>-11353.393</v>
      </c>
      <c r="M506" s="11">
        <v>52.994</v>
      </c>
      <c r="N506" s="11">
        <v>12902.838</v>
      </c>
      <c r="O506" s="11">
        <v>-11353.383</v>
      </c>
      <c r="P506" s="11">
        <v>47.784</v>
      </c>
      <c r="Q506" s="11">
        <v>1459.96</v>
      </c>
      <c r="R506" s="11">
        <v>-19.969</v>
      </c>
      <c r="S506" s="12">
        <v>0.89</v>
      </c>
      <c r="T506" s="13">
        <f t="shared" si="1"/>
        <v>1440.881</v>
      </c>
      <c r="U506" s="14">
        <f t="shared" si="2"/>
        <v>5.319</v>
      </c>
      <c r="V506" s="14">
        <f t="shared" si="3"/>
        <v>0.9647393939</v>
      </c>
      <c r="W506" s="15" t="str">
        <f t="shared" si="4"/>
        <v/>
      </c>
      <c r="X506" s="11">
        <f t="shared" si="5"/>
        <v>1441.648</v>
      </c>
      <c r="Y506" s="14">
        <f t="shared" si="6"/>
        <v>-0.767</v>
      </c>
      <c r="Z506" s="25"/>
      <c r="AA506" s="21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</row>
    <row r="507">
      <c r="A507" s="7"/>
      <c r="B507" s="7"/>
      <c r="C507" s="7"/>
      <c r="D507" s="7"/>
      <c r="E507" s="7"/>
      <c r="F507" s="7" t="s">
        <v>22</v>
      </c>
      <c r="G507" s="8">
        <v>2308.0</v>
      </c>
      <c r="H507" s="9">
        <v>39.2054494444</v>
      </c>
      <c r="I507" s="9">
        <v>-112.759352778</v>
      </c>
      <c r="J507" s="10">
        <v>1447.02</v>
      </c>
      <c r="K507" s="11">
        <v>12905.614</v>
      </c>
      <c r="L507" s="11">
        <v>-10146.558</v>
      </c>
      <c r="M507" s="11">
        <v>55.847</v>
      </c>
      <c r="N507" s="11">
        <v>12905.606</v>
      </c>
      <c r="O507" s="11">
        <v>-10146.551</v>
      </c>
      <c r="P507" s="11">
        <v>51.807</v>
      </c>
      <c r="Q507" s="11">
        <v>1461.93</v>
      </c>
      <c r="R507" s="11">
        <v>-19.953</v>
      </c>
      <c r="S507" s="12">
        <v>0.89</v>
      </c>
      <c r="T507" s="13">
        <f t="shared" si="1"/>
        <v>1442.867</v>
      </c>
      <c r="U507" s="14">
        <f t="shared" si="2"/>
        <v>4.153</v>
      </c>
      <c r="V507" s="14">
        <f t="shared" si="3"/>
        <v>-0.5018657343</v>
      </c>
      <c r="W507" s="15" t="str">
        <f t="shared" si="4"/>
        <v/>
      </c>
      <c r="X507" s="11">
        <f t="shared" si="5"/>
        <v>1442.468</v>
      </c>
      <c r="Y507" s="14">
        <f t="shared" si="6"/>
        <v>0.399</v>
      </c>
      <c r="Z507" s="25"/>
      <c r="AA507" s="21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</row>
    <row r="508">
      <c r="A508" s="7"/>
      <c r="B508" s="7"/>
      <c r="C508" s="7"/>
      <c r="D508" s="7"/>
      <c r="E508" s="7"/>
      <c r="F508" s="7" t="s">
        <v>22</v>
      </c>
      <c r="G508" s="8">
        <v>2309.0</v>
      </c>
      <c r="H508" s="9">
        <v>39.2172475</v>
      </c>
      <c r="I508" s="9">
        <v>-112.760655556</v>
      </c>
      <c r="J508" s="10">
        <v>1490.99</v>
      </c>
      <c r="K508" s="11">
        <v>12790.989</v>
      </c>
      <c r="L508" s="11">
        <v>-8836.59</v>
      </c>
      <c r="M508" s="11">
        <v>102.002</v>
      </c>
      <c r="N508" s="11">
        <v>12790.982</v>
      </c>
      <c r="O508" s="11">
        <v>-8836.585</v>
      </c>
      <c r="P508" s="11">
        <v>98.362</v>
      </c>
      <c r="Q508" s="11">
        <v>1506.29</v>
      </c>
      <c r="R508" s="11">
        <v>-19.941</v>
      </c>
      <c r="S508" s="12">
        <v>0.89</v>
      </c>
      <c r="T508" s="13">
        <f t="shared" si="1"/>
        <v>1487.239</v>
      </c>
      <c r="U508" s="14">
        <f t="shared" si="2"/>
        <v>3.751</v>
      </c>
      <c r="V508" s="14">
        <f t="shared" si="3"/>
        <v>-1.007504895</v>
      </c>
      <c r="W508" s="15" t="str">
        <f t="shared" si="4"/>
        <v/>
      </c>
      <c r="X508" s="11">
        <f t="shared" si="5"/>
        <v>1486.438</v>
      </c>
      <c r="Y508" s="14">
        <f t="shared" si="6"/>
        <v>0.801</v>
      </c>
      <c r="Z508" s="25"/>
      <c r="AA508" s="21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</row>
    <row r="509">
      <c r="A509" s="7"/>
      <c r="B509" s="7"/>
      <c r="C509" s="7"/>
      <c r="D509" s="7"/>
      <c r="E509" s="7"/>
      <c r="F509" s="7" t="s">
        <v>22</v>
      </c>
      <c r="G509" s="8">
        <v>2310.0</v>
      </c>
      <c r="H509" s="9">
        <v>39.2276830556</v>
      </c>
      <c r="I509" s="9">
        <v>-112.7598275</v>
      </c>
      <c r="J509" s="10">
        <v>1384.99</v>
      </c>
      <c r="K509" s="11">
        <v>12860.395</v>
      </c>
      <c r="L509" s="11">
        <v>-7677.584</v>
      </c>
      <c r="M509" s="11">
        <v>-2.634</v>
      </c>
      <c r="N509" s="11">
        <v>12860.385</v>
      </c>
      <c r="O509" s="11">
        <v>-7677.578</v>
      </c>
      <c r="P509" s="11">
        <v>-7.704</v>
      </c>
      <c r="Q509" s="11">
        <v>1398.85</v>
      </c>
      <c r="R509" s="11">
        <v>-19.93</v>
      </c>
      <c r="S509" s="12">
        <v>0.89</v>
      </c>
      <c r="T509" s="13">
        <f t="shared" si="1"/>
        <v>1379.81</v>
      </c>
      <c r="U509" s="14">
        <f t="shared" si="2"/>
        <v>5.18</v>
      </c>
      <c r="V509" s="14">
        <f t="shared" si="3"/>
        <v>0.7899039627</v>
      </c>
      <c r="W509" s="15" t="str">
        <f t="shared" si="4"/>
        <v/>
      </c>
      <c r="X509" s="11">
        <f t="shared" si="5"/>
        <v>1380.438</v>
      </c>
      <c r="Y509" s="14">
        <f t="shared" si="6"/>
        <v>-0.628</v>
      </c>
      <c r="Z509" s="25"/>
      <c r="AA509" s="21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</row>
    <row r="510">
      <c r="A510" s="7"/>
      <c r="B510" s="7"/>
      <c r="C510" s="7"/>
      <c r="D510" s="7"/>
      <c r="E510" s="7"/>
      <c r="F510" s="7" t="s">
        <v>22</v>
      </c>
      <c r="G510" s="8">
        <v>2311.0</v>
      </c>
      <c r="H510" s="9">
        <v>39.2379408333</v>
      </c>
      <c r="I510" s="9">
        <v>-112.7592325</v>
      </c>
      <c r="J510" s="10">
        <v>1377.61</v>
      </c>
      <c r="K510" s="11">
        <v>12909.888</v>
      </c>
      <c r="L510" s="11">
        <v>-6538.404</v>
      </c>
      <c r="M510" s="11">
        <v>-8.841</v>
      </c>
      <c r="N510" s="11">
        <v>12909.878</v>
      </c>
      <c r="O510" s="11">
        <v>-6538.399</v>
      </c>
      <c r="P510" s="11">
        <v>-13.851</v>
      </c>
      <c r="Q510" s="11">
        <v>1391.52</v>
      </c>
      <c r="R510" s="11">
        <v>-19.921</v>
      </c>
      <c r="S510" s="12">
        <v>0.89</v>
      </c>
      <c r="T510" s="13">
        <f t="shared" si="1"/>
        <v>1372.489</v>
      </c>
      <c r="U510" s="14">
        <f t="shared" si="2"/>
        <v>5.121</v>
      </c>
      <c r="V510" s="14">
        <f t="shared" si="3"/>
        <v>0.7156932401</v>
      </c>
      <c r="W510" s="15" t="str">
        <f t="shared" si="4"/>
        <v/>
      </c>
      <c r="X510" s="11">
        <f t="shared" si="5"/>
        <v>1373.058</v>
      </c>
      <c r="Y510" s="14">
        <f t="shared" si="6"/>
        <v>-0.569</v>
      </c>
      <c r="Z510" s="25"/>
      <c r="AA510" s="21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</row>
    <row r="511">
      <c r="A511" s="7"/>
      <c r="B511" s="7"/>
      <c r="C511" s="7"/>
      <c r="D511" s="7"/>
      <c r="E511" s="7"/>
      <c r="F511" s="7" t="s">
        <v>22</v>
      </c>
      <c r="G511" s="8">
        <v>2312.0</v>
      </c>
      <c r="H511" s="9">
        <v>39.2487219444</v>
      </c>
      <c r="I511" s="9">
        <v>-112.756450278</v>
      </c>
      <c r="J511" s="10">
        <v>1382.13</v>
      </c>
      <c r="K511" s="11">
        <v>13148.207</v>
      </c>
      <c r="L511" s="11">
        <v>-5340.842</v>
      </c>
      <c r="M511" s="11">
        <v>-3.689</v>
      </c>
      <c r="N511" s="11">
        <v>13148.195</v>
      </c>
      <c r="O511" s="11">
        <v>-5340.837</v>
      </c>
      <c r="P511" s="11">
        <v>-9.509</v>
      </c>
      <c r="Q511" s="11">
        <v>1395.22</v>
      </c>
      <c r="R511" s="11">
        <v>-19.911</v>
      </c>
      <c r="S511" s="12">
        <v>0.89</v>
      </c>
      <c r="T511" s="13">
        <f t="shared" si="1"/>
        <v>1376.199</v>
      </c>
      <c r="U511" s="14">
        <f t="shared" si="2"/>
        <v>5.931</v>
      </c>
      <c r="V511" s="14">
        <f t="shared" si="3"/>
        <v>1.734518415</v>
      </c>
      <c r="W511" s="15" t="str">
        <f t="shared" si="4"/>
        <v/>
      </c>
      <c r="X511" s="11">
        <f t="shared" si="5"/>
        <v>1377.578</v>
      </c>
      <c r="Y511" s="14">
        <f t="shared" si="6"/>
        <v>-1.379</v>
      </c>
      <c r="Z511" s="25"/>
      <c r="AA511" s="21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</row>
    <row r="512">
      <c r="A512" s="7"/>
      <c r="B512" s="7"/>
      <c r="C512" s="7"/>
      <c r="D512" s="7"/>
      <c r="E512" s="7"/>
      <c r="F512" s="7" t="s">
        <v>22</v>
      </c>
      <c r="G512" s="8">
        <v>2313.0</v>
      </c>
      <c r="H512" s="9">
        <v>39.2595225</v>
      </c>
      <c r="I512" s="9">
        <v>-112.759091667</v>
      </c>
      <c r="J512" s="10">
        <v>1381.45</v>
      </c>
      <c r="K512" s="11">
        <v>12918.112</v>
      </c>
      <c r="L512" s="11">
        <v>-4141.833</v>
      </c>
      <c r="M512" s="11">
        <v>-3.006</v>
      </c>
      <c r="N512" s="11">
        <v>12918.102</v>
      </c>
      <c r="O512" s="11">
        <v>-4141.83</v>
      </c>
      <c r="P512" s="11">
        <v>-7.676</v>
      </c>
      <c r="Q512" s="11">
        <v>1395.68</v>
      </c>
      <c r="R512" s="11">
        <v>-19.9</v>
      </c>
      <c r="S512" s="12">
        <v>0.89</v>
      </c>
      <c r="T512" s="13">
        <f t="shared" si="1"/>
        <v>1376.67</v>
      </c>
      <c r="U512" s="14">
        <f t="shared" si="2"/>
        <v>4.78</v>
      </c>
      <c r="V512" s="14">
        <f t="shared" si="3"/>
        <v>0.2867804196</v>
      </c>
      <c r="W512" s="15" t="str">
        <f t="shared" si="4"/>
        <v/>
      </c>
      <c r="X512" s="11">
        <f t="shared" si="5"/>
        <v>1376.898</v>
      </c>
      <c r="Y512" s="14">
        <f t="shared" si="6"/>
        <v>-0.228</v>
      </c>
      <c r="Z512" s="25"/>
      <c r="AA512" s="21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</row>
    <row r="513">
      <c r="A513" s="7"/>
      <c r="B513" s="7"/>
      <c r="C513" s="7"/>
      <c r="D513" s="7"/>
      <c r="E513" s="7"/>
      <c r="F513" s="7" t="s">
        <v>22</v>
      </c>
      <c r="G513" s="8">
        <v>2314.0</v>
      </c>
      <c r="H513" s="9">
        <v>39.2698791667</v>
      </c>
      <c r="I513" s="9">
        <v>-112.759129444</v>
      </c>
      <c r="J513" s="10">
        <v>1376.76</v>
      </c>
      <c r="K513" s="11">
        <v>12913.008</v>
      </c>
      <c r="L513" s="11">
        <v>-2991.859</v>
      </c>
      <c r="M513" s="11">
        <v>-7.041</v>
      </c>
      <c r="N513" s="11">
        <v>12912.998</v>
      </c>
      <c r="O513" s="11">
        <v>-2991.857</v>
      </c>
      <c r="P513" s="11">
        <v>-11.851</v>
      </c>
      <c r="Q513" s="11">
        <v>1390.84</v>
      </c>
      <c r="R513" s="11">
        <v>-19.889</v>
      </c>
      <c r="S513" s="12">
        <v>0.89</v>
      </c>
      <c r="T513" s="13">
        <f t="shared" si="1"/>
        <v>1371.841</v>
      </c>
      <c r="U513" s="14">
        <f t="shared" si="2"/>
        <v>4.919</v>
      </c>
      <c r="V513" s="14">
        <f t="shared" si="3"/>
        <v>0.4616158508</v>
      </c>
      <c r="W513" s="15" t="str">
        <f t="shared" si="4"/>
        <v/>
      </c>
      <c r="X513" s="11">
        <f t="shared" si="5"/>
        <v>1372.208</v>
      </c>
      <c r="Y513" s="14">
        <f t="shared" si="6"/>
        <v>-0.367</v>
      </c>
      <c r="Z513" s="25"/>
      <c r="AA513" s="21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</row>
    <row r="514">
      <c r="A514" s="7"/>
      <c r="B514" s="7"/>
      <c r="C514" s="7"/>
      <c r="D514" s="7"/>
      <c r="E514" s="7"/>
      <c r="F514" s="7" t="s">
        <v>22</v>
      </c>
      <c r="G514" s="8">
        <v>2315.0</v>
      </c>
      <c r="H514" s="9">
        <v>39.2811238889</v>
      </c>
      <c r="I514" s="9">
        <v>-112.759037222</v>
      </c>
      <c r="J514" s="10">
        <v>1377.02</v>
      </c>
      <c r="K514" s="11">
        <v>12918.884</v>
      </c>
      <c r="L514" s="11">
        <v>-1743.15</v>
      </c>
      <c r="M514" s="11">
        <v>-6.328</v>
      </c>
      <c r="N514" s="11">
        <v>12918.874</v>
      </c>
      <c r="O514" s="11">
        <v>-1743.148</v>
      </c>
      <c r="P514" s="11">
        <v>-11.258</v>
      </c>
      <c r="Q514" s="11">
        <v>1390.97</v>
      </c>
      <c r="R514" s="11">
        <v>-19.878</v>
      </c>
      <c r="S514" s="12">
        <v>0.89</v>
      </c>
      <c r="T514" s="13">
        <f t="shared" si="1"/>
        <v>1371.982</v>
      </c>
      <c r="U514" s="14">
        <f t="shared" si="2"/>
        <v>5.038</v>
      </c>
      <c r="V514" s="14">
        <f t="shared" si="3"/>
        <v>0.6112951049</v>
      </c>
      <c r="W514" s="15" t="str">
        <f t="shared" si="4"/>
        <v/>
      </c>
      <c r="X514" s="11">
        <f t="shared" si="5"/>
        <v>1372.468</v>
      </c>
      <c r="Y514" s="14">
        <f t="shared" si="6"/>
        <v>-0.486</v>
      </c>
      <c r="Z514" s="25"/>
      <c r="AA514" s="21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</row>
    <row r="515">
      <c r="A515" s="7"/>
      <c r="B515" s="7"/>
      <c r="C515" s="7"/>
      <c r="D515" s="7"/>
      <c r="E515" s="7"/>
      <c r="F515" s="7" t="s">
        <v>22</v>
      </c>
      <c r="G515" s="8">
        <v>2316.0</v>
      </c>
      <c r="H515" s="9">
        <v>39.2919916667</v>
      </c>
      <c r="I515" s="9">
        <v>-112.759072222</v>
      </c>
      <c r="J515" s="10">
        <v>1377.59</v>
      </c>
      <c r="K515" s="11">
        <v>12913.869</v>
      </c>
      <c r="L515" s="11">
        <v>-536.319</v>
      </c>
      <c r="M515" s="11">
        <v>-5.532</v>
      </c>
      <c r="N515" s="11">
        <v>12913.859</v>
      </c>
      <c r="O515" s="11">
        <v>-536.319</v>
      </c>
      <c r="P515" s="11">
        <v>-10.352</v>
      </c>
      <c r="Q515" s="11">
        <v>1391.64</v>
      </c>
      <c r="R515" s="11">
        <v>-19.868</v>
      </c>
      <c r="S515" s="12">
        <v>0.89</v>
      </c>
      <c r="T515" s="13">
        <f t="shared" si="1"/>
        <v>1372.662</v>
      </c>
      <c r="U515" s="14">
        <f t="shared" si="2"/>
        <v>4.928</v>
      </c>
      <c r="V515" s="14">
        <f t="shared" si="3"/>
        <v>0.4729361305</v>
      </c>
      <c r="W515" s="15" t="str">
        <f t="shared" si="4"/>
        <v/>
      </c>
      <c r="X515" s="11">
        <f t="shared" si="5"/>
        <v>1373.038</v>
      </c>
      <c r="Y515" s="14">
        <f t="shared" si="6"/>
        <v>-0.376</v>
      </c>
      <c r="Z515" s="25"/>
      <c r="AA515" s="21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</row>
    <row r="516">
      <c r="A516" s="7"/>
      <c r="B516" s="7"/>
      <c r="C516" s="7"/>
      <c r="D516" s="7"/>
      <c r="E516" s="7"/>
      <c r="F516" s="7" t="s">
        <v>22</v>
      </c>
      <c r="G516" s="8">
        <v>2317.0</v>
      </c>
      <c r="H516" s="9">
        <v>39.3027311111</v>
      </c>
      <c r="I516" s="9">
        <v>-112.758995</v>
      </c>
      <c r="J516" s="10">
        <v>1378.24</v>
      </c>
      <c r="K516" s="11">
        <v>12918.54</v>
      </c>
      <c r="L516" s="11">
        <v>656.204</v>
      </c>
      <c r="M516" s="11">
        <v>-4.902</v>
      </c>
      <c r="N516" s="11">
        <v>12918.531</v>
      </c>
      <c r="O516" s="11">
        <v>656.204</v>
      </c>
      <c r="P516" s="11">
        <v>-9.632</v>
      </c>
      <c r="Q516" s="11">
        <v>1392.37</v>
      </c>
      <c r="R516" s="11">
        <v>-19.857</v>
      </c>
      <c r="S516" s="12">
        <v>0.89</v>
      </c>
      <c r="T516" s="13">
        <f t="shared" si="1"/>
        <v>1373.403</v>
      </c>
      <c r="U516" s="14">
        <f t="shared" si="2"/>
        <v>4.837</v>
      </c>
      <c r="V516" s="14">
        <f t="shared" si="3"/>
        <v>0.3584755245</v>
      </c>
      <c r="W516" s="15" t="str">
        <f t="shared" si="4"/>
        <v/>
      </c>
      <c r="X516" s="11">
        <f t="shared" si="5"/>
        <v>1373.688</v>
      </c>
      <c r="Y516" s="14">
        <f t="shared" si="6"/>
        <v>-0.285</v>
      </c>
      <c r="Z516" s="25"/>
      <c r="AA516" s="21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</row>
    <row r="517">
      <c r="A517" s="7"/>
      <c r="B517" s="7"/>
      <c r="C517" s="7"/>
      <c r="D517" s="7"/>
      <c r="E517" s="7"/>
      <c r="F517" s="7" t="s">
        <v>22</v>
      </c>
      <c r="G517" s="8">
        <v>2408.0</v>
      </c>
      <c r="H517" s="9">
        <v>39.2053519444</v>
      </c>
      <c r="I517" s="9">
        <v>-112.745463056</v>
      </c>
      <c r="J517" s="10">
        <v>1437.84</v>
      </c>
      <c r="K517" s="11">
        <v>14105.634</v>
      </c>
      <c r="L517" s="11">
        <v>-10155.241</v>
      </c>
      <c r="M517" s="11">
        <v>44.116</v>
      </c>
      <c r="N517" s="11">
        <v>14105.62</v>
      </c>
      <c r="O517" s="11">
        <v>-10155.231</v>
      </c>
      <c r="P517" s="11">
        <v>37.906</v>
      </c>
      <c r="Q517" s="11">
        <v>1450.59</v>
      </c>
      <c r="R517" s="11">
        <v>-19.957</v>
      </c>
      <c r="S517" s="12">
        <v>0.89</v>
      </c>
      <c r="T517" s="13">
        <f t="shared" si="1"/>
        <v>1431.523</v>
      </c>
      <c r="U517" s="14">
        <f t="shared" si="2"/>
        <v>6.317</v>
      </c>
      <c r="V517" s="14">
        <f t="shared" si="3"/>
        <v>2.220032634</v>
      </c>
      <c r="W517" s="15" t="str">
        <f t="shared" si="4"/>
        <v/>
      </c>
      <c r="X517" s="11">
        <f t="shared" si="5"/>
        <v>1433.288</v>
      </c>
      <c r="Y517" s="14">
        <f t="shared" si="6"/>
        <v>-1.765</v>
      </c>
      <c r="Z517" s="25"/>
      <c r="AA517" s="21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</row>
    <row r="518">
      <c r="A518" s="7"/>
      <c r="B518" s="7"/>
      <c r="C518" s="7"/>
      <c r="D518" s="7"/>
      <c r="E518" s="7"/>
      <c r="F518" s="7" t="s">
        <v>22</v>
      </c>
      <c r="G518" s="8">
        <v>2409.0</v>
      </c>
      <c r="H518" s="9">
        <v>39.2162544444</v>
      </c>
      <c r="I518" s="9">
        <v>-112.745427778</v>
      </c>
      <c r="J518" s="10">
        <v>1437.5</v>
      </c>
      <c r="K518" s="11">
        <v>14106.476</v>
      </c>
      <c r="L518" s="11">
        <v>-8944.63</v>
      </c>
      <c r="M518" s="11">
        <v>45.591</v>
      </c>
      <c r="N518" s="11">
        <v>14106.464</v>
      </c>
      <c r="O518" s="11">
        <v>-8944.622</v>
      </c>
      <c r="P518" s="11">
        <v>40.241</v>
      </c>
      <c r="Q518" s="11">
        <v>1451.09</v>
      </c>
      <c r="R518" s="11">
        <v>-19.942</v>
      </c>
      <c r="S518" s="12">
        <v>0.89</v>
      </c>
      <c r="T518" s="13">
        <f t="shared" si="1"/>
        <v>1432.038</v>
      </c>
      <c r="U518" s="14">
        <f t="shared" si="2"/>
        <v>5.462</v>
      </c>
      <c r="V518" s="14">
        <f t="shared" si="3"/>
        <v>1.144606061</v>
      </c>
      <c r="W518" s="15" t="str">
        <f t="shared" si="4"/>
        <v/>
      </c>
      <c r="X518" s="11">
        <f t="shared" si="5"/>
        <v>1432.948</v>
      </c>
      <c r="Y518" s="14">
        <f t="shared" si="6"/>
        <v>-0.91</v>
      </c>
      <c r="Z518" s="25"/>
      <c r="AA518" s="21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</row>
    <row r="519">
      <c r="A519" s="7"/>
      <c r="B519" s="7"/>
      <c r="C519" s="7"/>
      <c r="D519" s="7"/>
      <c r="E519" s="7"/>
      <c r="F519" s="7" t="s">
        <v>22</v>
      </c>
      <c r="G519" s="8">
        <v>2410.0</v>
      </c>
      <c r="H519" s="9">
        <v>39.2278216667</v>
      </c>
      <c r="I519" s="9">
        <v>-112.748826111</v>
      </c>
      <c r="J519" s="10">
        <v>1477.4</v>
      </c>
      <c r="K519" s="11">
        <v>13810.772</v>
      </c>
      <c r="L519" s="11">
        <v>-7660.639</v>
      </c>
      <c r="M519" s="11">
        <v>87.813</v>
      </c>
      <c r="N519" s="11">
        <v>13810.76</v>
      </c>
      <c r="O519" s="11">
        <v>-7660.633</v>
      </c>
      <c r="P519" s="11">
        <v>82.653</v>
      </c>
      <c r="Q519" s="11">
        <v>1491.17</v>
      </c>
      <c r="R519" s="11">
        <v>-19.929</v>
      </c>
      <c r="S519" s="12">
        <v>0.89</v>
      </c>
      <c r="T519" s="13">
        <f t="shared" si="1"/>
        <v>1472.131</v>
      </c>
      <c r="U519" s="14">
        <f t="shared" si="2"/>
        <v>5.269</v>
      </c>
      <c r="V519" s="14">
        <f t="shared" si="3"/>
        <v>0.901848951</v>
      </c>
      <c r="W519" s="15" t="str">
        <f t="shared" si="4"/>
        <v/>
      </c>
      <c r="X519" s="11">
        <f t="shared" si="5"/>
        <v>1472.848</v>
      </c>
      <c r="Y519" s="14">
        <f t="shared" si="6"/>
        <v>-0.717</v>
      </c>
      <c r="Z519" s="25"/>
      <c r="AA519" s="21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</row>
    <row r="520">
      <c r="A520" s="7"/>
      <c r="B520" s="7"/>
      <c r="C520" s="7"/>
      <c r="D520" s="7"/>
      <c r="E520" s="7"/>
      <c r="F520" s="7" t="s">
        <v>22</v>
      </c>
      <c r="G520" s="8">
        <v>2411.0</v>
      </c>
      <c r="H520" s="9">
        <v>39.2378591667</v>
      </c>
      <c r="I520" s="9">
        <v>-112.745340556</v>
      </c>
      <c r="J520" s="10">
        <v>1443.31</v>
      </c>
      <c r="K520" s="11">
        <v>14109.677</v>
      </c>
      <c r="L520" s="11">
        <v>-6545.503</v>
      </c>
      <c r="M520" s="11">
        <v>54.315</v>
      </c>
      <c r="N520" s="11">
        <v>14109.666</v>
      </c>
      <c r="O520" s="11">
        <v>-6545.498</v>
      </c>
      <c r="P520" s="11">
        <v>49.365</v>
      </c>
      <c r="Q520" s="11">
        <v>1457.28</v>
      </c>
      <c r="R520" s="11">
        <v>-19.921</v>
      </c>
      <c r="S520" s="12">
        <v>0.89</v>
      </c>
      <c r="T520" s="13">
        <f t="shared" si="1"/>
        <v>1438.249</v>
      </c>
      <c r="U520" s="14">
        <f t="shared" si="2"/>
        <v>5.061</v>
      </c>
      <c r="V520" s="14">
        <f t="shared" si="3"/>
        <v>0.6402247086</v>
      </c>
      <c r="W520" s="15" t="str">
        <f t="shared" si="4"/>
        <v/>
      </c>
      <c r="X520" s="11">
        <f t="shared" si="5"/>
        <v>1438.758</v>
      </c>
      <c r="Y520" s="14">
        <f t="shared" si="6"/>
        <v>-0.509</v>
      </c>
      <c r="Z520" s="25"/>
      <c r="AA520" s="21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</row>
    <row r="521">
      <c r="A521" s="7"/>
      <c r="B521" s="7"/>
      <c r="C521" s="7"/>
      <c r="D521" s="7"/>
      <c r="E521" s="7"/>
      <c r="F521" s="7" t="s">
        <v>22</v>
      </c>
      <c r="G521" s="8">
        <v>2412.0</v>
      </c>
      <c r="H521" s="9">
        <v>39.2486630556</v>
      </c>
      <c r="I521" s="9">
        <v>-112.745304722</v>
      </c>
      <c r="J521" s="10">
        <v>1378.75</v>
      </c>
      <c r="K521" s="11">
        <v>14110.478</v>
      </c>
      <c r="L521" s="11">
        <v>-5345.712</v>
      </c>
      <c r="M521" s="11">
        <v>-9.126</v>
      </c>
      <c r="N521" s="11">
        <v>14110.468</v>
      </c>
      <c r="O521" s="11">
        <v>-5345.708</v>
      </c>
      <c r="P521" s="11">
        <v>-13.756</v>
      </c>
      <c r="Q521" s="11">
        <v>1393.03</v>
      </c>
      <c r="R521" s="11">
        <v>-19.912</v>
      </c>
      <c r="S521" s="12">
        <v>0.89</v>
      </c>
      <c r="T521" s="13">
        <f t="shared" si="1"/>
        <v>1374.008</v>
      </c>
      <c r="U521" s="14">
        <f t="shared" si="2"/>
        <v>4.742</v>
      </c>
      <c r="V521" s="14">
        <f t="shared" si="3"/>
        <v>0.238983683</v>
      </c>
      <c r="W521" s="15" t="str">
        <f t="shared" si="4"/>
        <v/>
      </c>
      <c r="X521" s="11">
        <f t="shared" si="5"/>
        <v>1374.198</v>
      </c>
      <c r="Y521" s="14">
        <f t="shared" si="6"/>
        <v>-0.19</v>
      </c>
      <c r="Z521" s="25"/>
      <c r="AA521" s="21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</row>
    <row r="522">
      <c r="A522" s="21"/>
      <c r="B522" s="21"/>
      <c r="C522" s="21"/>
      <c r="D522" s="21"/>
      <c r="E522" s="21"/>
      <c r="F522" s="21" t="s">
        <v>33</v>
      </c>
      <c r="G522" s="21">
        <v>3612.0</v>
      </c>
      <c r="H522" s="26">
        <v>38.912661</v>
      </c>
      <c r="I522" s="26">
        <v>-112.705119</v>
      </c>
      <c r="J522" s="21">
        <v>1434.72</v>
      </c>
      <c r="K522" s="11">
        <v>17663.901</v>
      </c>
      <c r="L522" s="11">
        <v>-42648.662</v>
      </c>
      <c r="M522" s="11">
        <v>-102.693</v>
      </c>
      <c r="N522" s="11">
        <v>17663.888</v>
      </c>
      <c r="O522" s="11">
        <v>-42648.629</v>
      </c>
      <c r="P522" s="11">
        <v>-107.563</v>
      </c>
      <c r="Q522" s="11">
        <v>1449.01</v>
      </c>
      <c r="R522" s="11">
        <v>-20.16</v>
      </c>
      <c r="S522" s="12">
        <v>0.89</v>
      </c>
      <c r="T522" s="14">
        <f t="shared" ref="T522:T643" si="7">$Q522+$R522+1</f>
        <v>1429.85</v>
      </c>
      <c r="U522" s="14">
        <f t="shared" si="2"/>
        <v>4.87</v>
      </c>
      <c r="V522" s="14">
        <f t="shared" si="3"/>
        <v>0.3999832168</v>
      </c>
      <c r="W522" s="15" t="str">
        <f t="shared" si="4"/>
        <v/>
      </c>
      <c r="X522" s="11">
        <f t="shared" si="5"/>
        <v>1430.168</v>
      </c>
      <c r="Y522" s="14">
        <f t="shared" si="6"/>
        <v>-0.318</v>
      </c>
      <c r="Z522" s="25"/>
      <c r="AA522" s="21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</row>
    <row r="523">
      <c r="A523" s="21"/>
      <c r="B523" s="21"/>
      <c r="C523" s="21"/>
      <c r="D523" s="21"/>
      <c r="E523" s="21"/>
      <c r="F523" s="21" t="s">
        <v>33</v>
      </c>
      <c r="G523" s="21">
        <v>3614.0</v>
      </c>
      <c r="H523" s="26">
        <v>38.91338</v>
      </c>
      <c r="I523" s="26">
        <v>-112.657043</v>
      </c>
      <c r="J523" s="21">
        <v>1429.12</v>
      </c>
      <c r="K523" s="11">
        <v>21834.331</v>
      </c>
      <c r="L523" s="11">
        <v>-42558.294</v>
      </c>
      <c r="M523" s="11">
        <v>-120.582</v>
      </c>
      <c r="N523" s="11">
        <v>21834.314</v>
      </c>
      <c r="O523" s="11">
        <v>-42558.26</v>
      </c>
      <c r="P523" s="11">
        <v>-125.622</v>
      </c>
      <c r="Q523" s="11">
        <v>1443.16</v>
      </c>
      <c r="R523" s="11">
        <v>-20.08</v>
      </c>
      <c r="S523" s="12">
        <v>0.89</v>
      </c>
      <c r="T523" s="14">
        <f t="shared" si="7"/>
        <v>1424.08</v>
      </c>
      <c r="U523" s="14">
        <f t="shared" si="2"/>
        <v>5.04</v>
      </c>
      <c r="V523" s="14">
        <f t="shared" si="3"/>
        <v>0.6138107226</v>
      </c>
      <c r="W523" s="15" t="str">
        <f t="shared" si="4"/>
        <v/>
      </c>
      <c r="X523" s="11">
        <f t="shared" si="5"/>
        <v>1424.568</v>
      </c>
      <c r="Y523" s="14">
        <f t="shared" si="6"/>
        <v>-0.488</v>
      </c>
      <c r="Z523" s="25"/>
      <c r="AA523" s="21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</row>
    <row r="524">
      <c r="A524" s="21"/>
      <c r="B524" s="21"/>
      <c r="C524" s="21"/>
      <c r="D524" s="21"/>
      <c r="E524" s="21"/>
      <c r="F524" s="21" t="s">
        <v>33</v>
      </c>
      <c r="G524" s="21">
        <v>3615.0</v>
      </c>
      <c r="H524" s="26">
        <v>38.913687</v>
      </c>
      <c r="I524" s="26">
        <v>-112.633123</v>
      </c>
      <c r="J524" s="21">
        <v>1435.89</v>
      </c>
      <c r="K524" s="11">
        <v>23909.324</v>
      </c>
      <c r="L524" s="11">
        <v>-42518.204</v>
      </c>
      <c r="M524" s="11">
        <v>-120.973</v>
      </c>
      <c r="N524" s="11">
        <v>23909.309</v>
      </c>
      <c r="O524" s="11">
        <v>-42518.177</v>
      </c>
      <c r="P524" s="11">
        <v>-124.983</v>
      </c>
      <c r="Q524" s="11">
        <v>1450.91</v>
      </c>
      <c r="R524" s="11">
        <v>-20.03</v>
      </c>
      <c r="S524" s="12">
        <v>0.89</v>
      </c>
      <c r="T524" s="14">
        <f t="shared" si="7"/>
        <v>1431.88</v>
      </c>
      <c r="U524" s="14">
        <f t="shared" si="2"/>
        <v>4.01</v>
      </c>
      <c r="V524" s="14">
        <f t="shared" si="3"/>
        <v>-0.6817324009</v>
      </c>
      <c r="W524" s="15" t="str">
        <f t="shared" si="4"/>
        <v/>
      </c>
      <c r="X524" s="11">
        <f t="shared" si="5"/>
        <v>1431.338</v>
      </c>
      <c r="Y524" s="14">
        <f t="shared" si="6"/>
        <v>0.542</v>
      </c>
      <c r="Z524" s="25"/>
      <c r="AA524" s="21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</row>
    <row r="525">
      <c r="A525" s="21"/>
      <c r="B525" s="21"/>
      <c r="C525" s="21"/>
      <c r="D525" s="21"/>
      <c r="E525" s="21"/>
      <c r="F525" s="21" t="s">
        <v>33</v>
      </c>
      <c r="G525" s="21">
        <v>3616.0</v>
      </c>
      <c r="H525" s="26">
        <v>39.410456</v>
      </c>
      <c r="I525" s="26">
        <v>-112.961576</v>
      </c>
      <c r="J525" s="21">
        <v>1510.32</v>
      </c>
      <c r="K525" s="11">
        <v>-4552.15</v>
      </c>
      <c r="L525" s="11">
        <v>12609.564</v>
      </c>
      <c r="M525" s="11">
        <v>126.157</v>
      </c>
      <c r="N525" s="11">
        <v>-4552.148</v>
      </c>
      <c r="O525" s="11">
        <v>12609.558</v>
      </c>
      <c r="P525" s="11">
        <v>123.157</v>
      </c>
      <c r="Q525" s="11">
        <v>1525.98</v>
      </c>
      <c r="R525" s="11">
        <v>-19.66</v>
      </c>
      <c r="S525" s="12">
        <v>0.89</v>
      </c>
      <c r="T525" s="14">
        <f t="shared" si="7"/>
        <v>1507.32</v>
      </c>
      <c r="U525" s="14">
        <f t="shared" si="2"/>
        <v>3</v>
      </c>
      <c r="V525" s="14">
        <f t="shared" si="3"/>
        <v>-1.952119347</v>
      </c>
      <c r="W525" s="15" t="str">
        <f t="shared" si="4"/>
        <v/>
      </c>
      <c r="X525" s="11">
        <f t="shared" si="5"/>
        <v>1505.768</v>
      </c>
      <c r="Y525" s="14">
        <f t="shared" si="6"/>
        <v>1.552</v>
      </c>
      <c r="Z525" s="25"/>
      <c r="AA525" s="21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</row>
    <row r="526">
      <c r="A526" s="21"/>
      <c r="B526" s="21"/>
      <c r="C526" s="21"/>
      <c r="D526" s="21"/>
      <c r="E526" s="21"/>
      <c r="F526" s="21" t="s">
        <v>33</v>
      </c>
      <c r="G526" s="21">
        <v>3710.0</v>
      </c>
      <c r="H526" s="26">
        <v>38.930722</v>
      </c>
      <c r="I526" s="26">
        <v>-112.753451</v>
      </c>
      <c r="J526" s="21">
        <v>1440.54</v>
      </c>
      <c r="K526" s="11">
        <v>13467.608</v>
      </c>
      <c r="L526" s="11">
        <v>-40651.586</v>
      </c>
      <c r="M526" s="11">
        <v>-73.574</v>
      </c>
      <c r="N526" s="11">
        <v>13467.601</v>
      </c>
      <c r="O526" s="11">
        <v>-40651.566</v>
      </c>
      <c r="P526" s="11">
        <v>-76.654</v>
      </c>
      <c r="Q526" s="11">
        <v>1456.63</v>
      </c>
      <c r="R526" s="11">
        <v>-20.17</v>
      </c>
      <c r="S526" s="12">
        <v>0.89</v>
      </c>
      <c r="T526" s="14">
        <f t="shared" si="7"/>
        <v>1437.46</v>
      </c>
      <c r="U526" s="14">
        <f t="shared" si="2"/>
        <v>3.08</v>
      </c>
      <c r="V526" s="14">
        <f t="shared" si="3"/>
        <v>-1.851494639</v>
      </c>
      <c r="W526" s="15" t="str">
        <f t="shared" si="4"/>
        <v/>
      </c>
      <c r="X526" s="11">
        <f t="shared" si="5"/>
        <v>1435.988</v>
      </c>
      <c r="Y526" s="14">
        <f t="shared" si="6"/>
        <v>1.472</v>
      </c>
      <c r="Z526" s="25"/>
      <c r="AA526" s="21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</row>
    <row r="527">
      <c r="A527" s="21"/>
      <c r="B527" s="21"/>
      <c r="C527" s="21"/>
      <c r="D527" s="21"/>
      <c r="E527" s="21"/>
      <c r="F527" s="21" t="s">
        <v>33</v>
      </c>
      <c r="G527" s="21">
        <v>3711.0</v>
      </c>
      <c r="H527" s="26">
        <v>38.931105</v>
      </c>
      <c r="I527" s="26">
        <v>-112.729428</v>
      </c>
      <c r="J527" s="21">
        <v>1442.04</v>
      </c>
      <c r="K527" s="11">
        <v>15551.043</v>
      </c>
      <c r="L527" s="11">
        <v>-40605.215</v>
      </c>
      <c r="M527" s="11">
        <v>-76.51</v>
      </c>
      <c r="N527" s="11">
        <v>15551.035</v>
      </c>
      <c r="O527" s="11">
        <v>-40605.194</v>
      </c>
      <c r="P527" s="11">
        <v>-79.89</v>
      </c>
      <c r="Q527" s="11">
        <v>1457.82</v>
      </c>
      <c r="R527" s="11">
        <v>-20.16</v>
      </c>
      <c r="S527" s="12">
        <v>0.89</v>
      </c>
      <c r="T527" s="14">
        <f t="shared" si="7"/>
        <v>1438.66</v>
      </c>
      <c r="U527" s="14">
        <f t="shared" si="2"/>
        <v>3.38</v>
      </c>
      <c r="V527" s="14">
        <f t="shared" si="3"/>
        <v>-1.474151981</v>
      </c>
      <c r="W527" s="15" t="str">
        <f t="shared" si="4"/>
        <v/>
      </c>
      <c r="X527" s="11">
        <f t="shared" si="5"/>
        <v>1437.488</v>
      </c>
      <c r="Y527" s="14">
        <f t="shared" si="6"/>
        <v>1.172</v>
      </c>
      <c r="Z527" s="25"/>
      <c r="AA527" s="21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</row>
    <row r="528">
      <c r="A528" s="21"/>
      <c r="B528" s="21"/>
      <c r="C528" s="21"/>
      <c r="D528" s="21"/>
      <c r="E528" s="21"/>
      <c r="F528" s="21" t="s">
        <v>33</v>
      </c>
      <c r="G528" s="21">
        <v>3712.0</v>
      </c>
      <c r="H528" s="26">
        <v>38.931341</v>
      </c>
      <c r="I528" s="26">
        <v>-112.705639</v>
      </c>
      <c r="J528" s="21">
        <v>1437.57</v>
      </c>
      <c r="K528" s="11">
        <v>17614.179</v>
      </c>
      <c r="L528" s="11">
        <v>-40574.622</v>
      </c>
      <c r="M528" s="11">
        <v>-86.141</v>
      </c>
      <c r="N528" s="11">
        <v>17614.165</v>
      </c>
      <c r="O528" s="11">
        <v>-40574.589</v>
      </c>
      <c r="P528" s="11">
        <v>-91.221</v>
      </c>
      <c r="Q528" s="11">
        <v>1451.64</v>
      </c>
      <c r="R528" s="11">
        <v>-20.15</v>
      </c>
      <c r="S528" s="12">
        <v>0.89</v>
      </c>
      <c r="T528" s="14">
        <f t="shared" si="7"/>
        <v>1432.49</v>
      </c>
      <c r="U528" s="14">
        <f t="shared" si="2"/>
        <v>5.08</v>
      </c>
      <c r="V528" s="14">
        <f t="shared" si="3"/>
        <v>0.6641230769</v>
      </c>
      <c r="W528" s="15" t="str">
        <f t="shared" si="4"/>
        <v/>
      </c>
      <c r="X528" s="11">
        <f t="shared" si="5"/>
        <v>1433.018</v>
      </c>
      <c r="Y528" s="14">
        <f t="shared" si="6"/>
        <v>-0.528</v>
      </c>
      <c r="Z528" s="25"/>
      <c r="AA528" s="21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</row>
    <row r="529">
      <c r="A529" s="21"/>
      <c r="B529" s="21"/>
      <c r="C529" s="21"/>
      <c r="D529" s="21"/>
      <c r="E529" s="21"/>
      <c r="F529" s="21" t="s">
        <v>33</v>
      </c>
      <c r="G529" s="21">
        <v>3713.0</v>
      </c>
      <c r="H529" s="26">
        <v>38.931796</v>
      </c>
      <c r="I529" s="26">
        <v>-112.681597</v>
      </c>
      <c r="J529" s="21">
        <v>1426.12</v>
      </c>
      <c r="K529" s="11">
        <v>19699.156</v>
      </c>
      <c r="L529" s="11">
        <v>-40519.069</v>
      </c>
      <c r="M529" s="11">
        <v>-103.326</v>
      </c>
      <c r="N529" s="11">
        <v>19699.148</v>
      </c>
      <c r="O529" s="11">
        <v>-40519.054</v>
      </c>
      <c r="P529" s="11">
        <v>-105.726</v>
      </c>
      <c r="Q529" s="11">
        <v>1442.84</v>
      </c>
      <c r="R529" s="11">
        <v>-20.12</v>
      </c>
      <c r="S529" s="12">
        <v>0.89</v>
      </c>
      <c r="T529" s="14">
        <f t="shared" si="7"/>
        <v>1423.72</v>
      </c>
      <c r="U529" s="14">
        <f t="shared" si="2"/>
        <v>2.4</v>
      </c>
      <c r="V529" s="14">
        <f t="shared" si="3"/>
        <v>-2.706804662</v>
      </c>
      <c r="W529" s="15" t="str">
        <f t="shared" si="4"/>
        <v/>
      </c>
      <c r="X529" s="11">
        <f t="shared" si="5"/>
        <v>1421.568</v>
      </c>
      <c r="Y529" s="14">
        <f t="shared" si="6"/>
        <v>2.152</v>
      </c>
      <c r="Z529" s="25"/>
      <c r="AA529" s="21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</row>
    <row r="530">
      <c r="A530" s="21"/>
      <c r="B530" s="21"/>
      <c r="C530" s="21"/>
      <c r="D530" s="21"/>
      <c r="E530" s="21"/>
      <c r="F530" s="21" t="s">
        <v>33</v>
      </c>
      <c r="G530" s="21">
        <v>3714.0</v>
      </c>
      <c r="H530" s="26">
        <v>38.932117</v>
      </c>
      <c r="I530" s="26">
        <v>-112.657569</v>
      </c>
      <c r="J530" s="21">
        <v>1422.46</v>
      </c>
      <c r="K530" s="11">
        <v>21782.948</v>
      </c>
      <c r="L530" s="11">
        <v>-40477.894</v>
      </c>
      <c r="M530" s="11">
        <v>-113.49</v>
      </c>
      <c r="N530" s="11">
        <v>21782.938</v>
      </c>
      <c r="O530" s="11">
        <v>-40477.875</v>
      </c>
      <c r="P530" s="11">
        <v>-116.41</v>
      </c>
      <c r="Q530" s="11">
        <v>1438.62</v>
      </c>
      <c r="R530" s="11">
        <v>-20.08</v>
      </c>
      <c r="S530" s="12">
        <v>0.89</v>
      </c>
      <c r="T530" s="14">
        <f t="shared" si="7"/>
        <v>1419.54</v>
      </c>
      <c r="U530" s="14">
        <f t="shared" si="2"/>
        <v>2.92</v>
      </c>
      <c r="V530" s="14">
        <f t="shared" si="3"/>
        <v>-2.052744056</v>
      </c>
      <c r="W530" s="15" t="str">
        <f t="shared" si="4"/>
        <v/>
      </c>
      <c r="X530" s="11">
        <f t="shared" si="5"/>
        <v>1417.908</v>
      </c>
      <c r="Y530" s="14">
        <f t="shared" si="6"/>
        <v>1.632</v>
      </c>
      <c r="Z530" s="25"/>
      <c r="AA530" s="21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</row>
    <row r="531">
      <c r="A531" s="21"/>
      <c r="B531" s="21"/>
      <c r="C531" s="21"/>
      <c r="D531" s="21"/>
      <c r="E531" s="21"/>
      <c r="F531" s="21" t="s">
        <v>33</v>
      </c>
      <c r="G531" s="21">
        <v>3715.0</v>
      </c>
      <c r="H531" s="26">
        <v>38.932459</v>
      </c>
      <c r="I531" s="26">
        <v>-112.633521</v>
      </c>
      <c r="J531" s="21">
        <v>1426.59</v>
      </c>
      <c r="K531" s="11">
        <v>23868.472</v>
      </c>
      <c r="L531" s="11">
        <v>-40433.878</v>
      </c>
      <c r="M531" s="11">
        <v>-116.533</v>
      </c>
      <c r="N531" s="11">
        <v>23868.456</v>
      </c>
      <c r="O531" s="11">
        <v>-40433.852</v>
      </c>
      <c r="P531" s="11">
        <v>-120.712</v>
      </c>
      <c r="Q531" s="11">
        <v>1441.44</v>
      </c>
      <c r="R531" s="11">
        <v>-20.03</v>
      </c>
      <c r="S531" s="12">
        <v>0.89</v>
      </c>
      <c r="T531" s="14">
        <f t="shared" si="7"/>
        <v>1422.41</v>
      </c>
      <c r="U531" s="14">
        <f t="shared" si="2"/>
        <v>4.18</v>
      </c>
      <c r="V531" s="14">
        <f t="shared" si="3"/>
        <v>-0.4679048951</v>
      </c>
      <c r="W531" s="15" t="str">
        <f t="shared" si="4"/>
        <v/>
      </c>
      <c r="X531" s="11">
        <f t="shared" si="5"/>
        <v>1422.038</v>
      </c>
      <c r="Y531" s="14">
        <f t="shared" si="6"/>
        <v>0.372</v>
      </c>
      <c r="Z531" s="25"/>
      <c r="AA531" s="21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</row>
    <row r="532">
      <c r="A532" s="21"/>
      <c r="B532" s="21"/>
      <c r="C532" s="21"/>
      <c r="D532" s="21"/>
      <c r="E532" s="21"/>
      <c r="F532" s="21" t="s">
        <v>33</v>
      </c>
      <c r="G532" s="21">
        <v>3716.0</v>
      </c>
      <c r="H532" s="26">
        <v>38.932873</v>
      </c>
      <c r="I532" s="26">
        <v>-112.609642</v>
      </c>
      <c r="J532" s="21">
        <v>1422.83</v>
      </c>
      <c r="K532" s="11">
        <v>25939.26</v>
      </c>
      <c r="L532" s="11">
        <v>-40381.312</v>
      </c>
      <c r="M532" s="11">
        <v>-128.032</v>
      </c>
      <c r="N532" s="11">
        <v>25939.241</v>
      </c>
      <c r="O532" s="11">
        <v>-40381.283</v>
      </c>
      <c r="P532" s="11">
        <v>-132.622</v>
      </c>
      <c r="Q532" s="11">
        <v>1437.2</v>
      </c>
      <c r="R532" s="11">
        <v>-19.96</v>
      </c>
      <c r="S532" s="12">
        <v>0.89</v>
      </c>
      <c r="T532" s="14">
        <f t="shared" si="7"/>
        <v>1418.24</v>
      </c>
      <c r="U532" s="14">
        <f t="shared" si="2"/>
        <v>4.59</v>
      </c>
      <c r="V532" s="14">
        <f t="shared" si="3"/>
        <v>0.0477967366</v>
      </c>
      <c r="W532" s="15" t="str">
        <f t="shared" si="4"/>
        <v/>
      </c>
      <c r="X532" s="11">
        <f t="shared" si="5"/>
        <v>1418.278</v>
      </c>
      <c r="Y532" s="14">
        <f t="shared" si="6"/>
        <v>-0.038</v>
      </c>
      <c r="Z532" s="25"/>
      <c r="AA532" s="21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</row>
    <row r="533">
      <c r="A533" s="21"/>
      <c r="B533" s="21"/>
      <c r="C533" s="21"/>
      <c r="D533" s="21"/>
      <c r="E533" s="21"/>
      <c r="F533" s="21" t="s">
        <v>33</v>
      </c>
      <c r="G533" s="21">
        <v>3717.0</v>
      </c>
      <c r="H533" s="26">
        <v>39.421135</v>
      </c>
      <c r="I533" s="26">
        <v>-112.927185</v>
      </c>
      <c r="J533" s="21">
        <v>1465.82</v>
      </c>
      <c r="K533" s="11">
        <v>-1589.318</v>
      </c>
      <c r="L533" s="11">
        <v>13794.198</v>
      </c>
      <c r="M533" s="11">
        <v>80.623</v>
      </c>
      <c r="N533" s="11">
        <v>-1589.316</v>
      </c>
      <c r="O533" s="11">
        <v>13794.181</v>
      </c>
      <c r="P533" s="11">
        <v>72.623</v>
      </c>
      <c r="Q533" s="11">
        <v>1476.48</v>
      </c>
      <c r="R533" s="11">
        <v>-19.66</v>
      </c>
      <c r="S533" s="12">
        <v>0.89</v>
      </c>
      <c r="T533" s="14">
        <f t="shared" si="7"/>
        <v>1457.82</v>
      </c>
      <c r="U533" s="14">
        <f t="shared" si="2"/>
        <v>8</v>
      </c>
      <c r="V533" s="14">
        <f t="shared" si="3"/>
        <v>4.336924942</v>
      </c>
      <c r="W533" s="15" t="str">
        <f t="shared" si="4"/>
        <v>✔</v>
      </c>
      <c r="X533" s="11">
        <f t="shared" si="5"/>
        <v>1461.268</v>
      </c>
      <c r="Y533" s="14">
        <f t="shared" si="6"/>
        <v>-3.448</v>
      </c>
      <c r="Z533" s="25"/>
      <c r="AA533" s="21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</row>
    <row r="534">
      <c r="A534" s="21"/>
      <c r="B534" s="21"/>
      <c r="C534" s="21"/>
      <c r="D534" s="21"/>
      <c r="E534" s="21"/>
      <c r="F534" s="21" t="s">
        <v>33</v>
      </c>
      <c r="G534" s="21">
        <v>3809.0</v>
      </c>
      <c r="H534" s="26">
        <v>38.94894</v>
      </c>
      <c r="I534" s="26">
        <v>-112.779519</v>
      </c>
      <c r="J534" s="21">
        <v>1442.76</v>
      </c>
      <c r="K534" s="11">
        <v>11203.864</v>
      </c>
      <c r="L534" s="11">
        <v>-38632.278</v>
      </c>
      <c r="M534" s="11">
        <v>-54.4</v>
      </c>
      <c r="N534" s="11">
        <v>11203.856</v>
      </c>
      <c r="O534" s="11">
        <v>-38632.249</v>
      </c>
      <c r="P534" s="11">
        <v>-59.23</v>
      </c>
      <c r="Q534" s="11">
        <v>1457.07</v>
      </c>
      <c r="R534" s="11">
        <v>-20.14</v>
      </c>
      <c r="S534" s="12">
        <v>0.89</v>
      </c>
      <c r="T534" s="14">
        <f t="shared" si="7"/>
        <v>1437.93</v>
      </c>
      <c r="U534" s="14">
        <f t="shared" si="2"/>
        <v>4.83</v>
      </c>
      <c r="V534" s="14">
        <f t="shared" si="3"/>
        <v>0.3496708625</v>
      </c>
      <c r="W534" s="15" t="str">
        <f t="shared" si="4"/>
        <v/>
      </c>
      <c r="X534" s="11">
        <f t="shared" si="5"/>
        <v>1438.208</v>
      </c>
      <c r="Y534" s="14">
        <f t="shared" si="6"/>
        <v>-0.278</v>
      </c>
      <c r="Z534" s="25"/>
      <c r="AA534" s="21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</row>
    <row r="535">
      <c r="A535" s="21"/>
      <c r="B535" s="21"/>
      <c r="C535" s="21"/>
      <c r="D535" s="21"/>
      <c r="E535" s="21"/>
      <c r="F535" s="21" t="s">
        <v>33</v>
      </c>
      <c r="G535" s="21">
        <v>3810.0</v>
      </c>
      <c r="H535" s="26">
        <v>38.949456</v>
      </c>
      <c r="I535" s="26">
        <v>-112.75392</v>
      </c>
      <c r="J535" s="21">
        <v>1432.28</v>
      </c>
      <c r="K535" s="11">
        <v>13423.382</v>
      </c>
      <c r="L535" s="11">
        <v>-38571.435</v>
      </c>
      <c r="M535" s="11">
        <v>-68.79</v>
      </c>
      <c r="N535" s="11">
        <v>13423.373</v>
      </c>
      <c r="O535" s="11">
        <v>-38571.412</v>
      </c>
      <c r="P535" s="11">
        <v>-72.67</v>
      </c>
      <c r="Q535" s="11">
        <v>1447.56</v>
      </c>
      <c r="R535" s="11">
        <v>-20.16</v>
      </c>
      <c r="S535" s="12">
        <v>0.89</v>
      </c>
      <c r="T535" s="14">
        <f t="shared" si="7"/>
        <v>1428.4</v>
      </c>
      <c r="U535" s="14">
        <f t="shared" si="2"/>
        <v>3.88</v>
      </c>
      <c r="V535" s="14">
        <f t="shared" si="3"/>
        <v>-0.8452475524</v>
      </c>
      <c r="W535" s="15" t="str">
        <f t="shared" si="4"/>
        <v/>
      </c>
      <c r="X535" s="11">
        <f t="shared" si="5"/>
        <v>1427.728</v>
      </c>
      <c r="Y535" s="14">
        <f t="shared" si="6"/>
        <v>0.672</v>
      </c>
      <c r="Z535" s="25"/>
      <c r="AA535" s="21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</row>
    <row r="536">
      <c r="A536" s="21"/>
      <c r="B536" s="21"/>
      <c r="C536" s="21"/>
      <c r="D536" s="21"/>
      <c r="E536" s="21"/>
      <c r="F536" s="21" t="s">
        <v>33</v>
      </c>
      <c r="G536" s="21">
        <v>3811.0</v>
      </c>
      <c r="H536" s="26">
        <v>38.949992</v>
      </c>
      <c r="I536" s="26">
        <v>-112.730669</v>
      </c>
      <c r="J536" s="21">
        <v>1408.24</v>
      </c>
      <c r="K536" s="11">
        <v>15439.233</v>
      </c>
      <c r="L536" s="11">
        <v>-38508.065</v>
      </c>
      <c r="M536" s="11">
        <v>-97.0</v>
      </c>
      <c r="N536" s="11">
        <v>15439.226</v>
      </c>
      <c r="O536" s="11">
        <v>-38508.047</v>
      </c>
      <c r="P536" s="11">
        <v>-100.0</v>
      </c>
      <c r="Q536" s="11">
        <v>1424.4</v>
      </c>
      <c r="R536" s="11">
        <v>-20.16</v>
      </c>
      <c r="S536" s="12">
        <v>0.89</v>
      </c>
      <c r="T536" s="14">
        <f t="shared" si="7"/>
        <v>1405.24</v>
      </c>
      <c r="U536" s="14">
        <f t="shared" si="2"/>
        <v>3</v>
      </c>
      <c r="V536" s="14">
        <f t="shared" si="3"/>
        <v>-1.952119347</v>
      </c>
      <c r="W536" s="15" t="str">
        <f t="shared" si="4"/>
        <v/>
      </c>
      <c r="X536" s="11">
        <f t="shared" si="5"/>
        <v>1403.688</v>
      </c>
      <c r="Y536" s="14">
        <f t="shared" si="6"/>
        <v>1.552</v>
      </c>
      <c r="Z536" s="25"/>
      <c r="AA536" s="21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</row>
    <row r="537">
      <c r="A537" s="21"/>
      <c r="B537" s="21"/>
      <c r="C537" s="21"/>
      <c r="D537" s="21"/>
      <c r="E537" s="21"/>
      <c r="F537" s="21" t="s">
        <v>33</v>
      </c>
      <c r="G537" s="21">
        <v>3812.0</v>
      </c>
      <c r="H537" s="26">
        <v>38.950086</v>
      </c>
      <c r="I537" s="26">
        <v>-112.706062</v>
      </c>
      <c r="J537" s="21">
        <v>1408.89</v>
      </c>
      <c r="K537" s="11">
        <v>17572.786</v>
      </c>
      <c r="L537" s="11">
        <v>-38493.141</v>
      </c>
      <c r="M537" s="11">
        <v>-101.773</v>
      </c>
      <c r="N537" s="11">
        <v>17572.776</v>
      </c>
      <c r="O537" s="11">
        <v>-38493.12</v>
      </c>
      <c r="P537" s="11">
        <v>-105.293</v>
      </c>
      <c r="Q537" s="11">
        <v>1424.51</v>
      </c>
      <c r="R537" s="11">
        <v>-20.14</v>
      </c>
      <c r="S537" s="12">
        <v>0.89</v>
      </c>
      <c r="T537" s="14">
        <f t="shared" si="7"/>
        <v>1405.37</v>
      </c>
      <c r="U537" s="14">
        <f t="shared" si="2"/>
        <v>3.52</v>
      </c>
      <c r="V537" s="14">
        <f t="shared" si="3"/>
        <v>-1.298058741</v>
      </c>
      <c r="W537" s="15" t="str">
        <f t="shared" si="4"/>
        <v/>
      </c>
      <c r="X537" s="11">
        <f t="shared" si="5"/>
        <v>1404.338</v>
      </c>
      <c r="Y537" s="14">
        <f t="shared" si="6"/>
        <v>1.032</v>
      </c>
      <c r="Z537" s="25"/>
      <c r="AA537" s="21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</row>
    <row r="538">
      <c r="A538" s="21"/>
      <c r="B538" s="21"/>
      <c r="C538" s="21"/>
      <c r="D538" s="21"/>
      <c r="E538" s="21"/>
      <c r="F538" s="21" t="s">
        <v>33</v>
      </c>
      <c r="G538" s="21">
        <v>3813.0</v>
      </c>
      <c r="H538" s="26">
        <v>38.950478</v>
      </c>
      <c r="I538" s="26">
        <v>-112.68199</v>
      </c>
      <c r="J538" s="21">
        <v>1414.07</v>
      </c>
      <c r="K538" s="11">
        <v>19659.875</v>
      </c>
      <c r="L538" s="11">
        <v>-38444.693</v>
      </c>
      <c r="M538" s="11">
        <v>-102.382</v>
      </c>
      <c r="N538" s="11">
        <v>19659.86</v>
      </c>
      <c r="O538" s="11">
        <v>-38444.665</v>
      </c>
      <c r="P538" s="11">
        <v>-106.942</v>
      </c>
      <c r="Q538" s="11">
        <v>1428.63</v>
      </c>
      <c r="R538" s="11">
        <v>-20.12</v>
      </c>
      <c r="S538" s="12">
        <v>0.89</v>
      </c>
      <c r="T538" s="14">
        <f t="shared" si="7"/>
        <v>1409.51</v>
      </c>
      <c r="U538" s="14">
        <f t="shared" si="2"/>
        <v>4.56</v>
      </c>
      <c r="V538" s="14">
        <f t="shared" si="3"/>
        <v>0.01006247086</v>
      </c>
      <c r="W538" s="15" t="str">
        <f t="shared" si="4"/>
        <v/>
      </c>
      <c r="X538" s="11">
        <f t="shared" si="5"/>
        <v>1409.518</v>
      </c>
      <c r="Y538" s="14">
        <f t="shared" si="6"/>
        <v>-0.008</v>
      </c>
      <c r="Z538" s="25"/>
      <c r="AA538" s="21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</row>
    <row r="539">
      <c r="A539" s="21"/>
      <c r="B539" s="21"/>
      <c r="C539" s="21"/>
      <c r="D539" s="21"/>
      <c r="E539" s="21"/>
      <c r="F539" s="21" t="s">
        <v>33</v>
      </c>
      <c r="G539" s="21">
        <v>3814.0</v>
      </c>
      <c r="H539" s="26">
        <v>38.951298</v>
      </c>
      <c r="I539" s="26">
        <v>-112.657913</v>
      </c>
      <c r="J539" s="21">
        <v>1410.16</v>
      </c>
      <c r="K539" s="11">
        <v>21747.212</v>
      </c>
      <c r="L539" s="11">
        <v>-38348.109</v>
      </c>
      <c r="M539" s="11">
        <v>-112.475</v>
      </c>
      <c r="N539" s="11">
        <v>21747.198</v>
      </c>
      <c r="O539" s="11">
        <v>-38348.085</v>
      </c>
      <c r="P539" s="11">
        <v>-116.505</v>
      </c>
      <c r="Q539" s="11">
        <v>1425.21</v>
      </c>
      <c r="R539" s="11">
        <v>-20.08</v>
      </c>
      <c r="S539" s="12">
        <v>0.89</v>
      </c>
      <c r="T539" s="14">
        <f t="shared" si="7"/>
        <v>1406.13</v>
      </c>
      <c r="U539" s="14">
        <f t="shared" si="2"/>
        <v>4.03</v>
      </c>
      <c r="V539" s="14">
        <f t="shared" si="3"/>
        <v>-0.6565762238</v>
      </c>
      <c r="W539" s="15" t="str">
        <f t="shared" si="4"/>
        <v/>
      </c>
      <c r="X539" s="11">
        <f t="shared" si="5"/>
        <v>1405.608</v>
      </c>
      <c r="Y539" s="14">
        <f t="shared" si="6"/>
        <v>0.522</v>
      </c>
      <c r="Z539" s="25"/>
      <c r="AA539" s="21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</row>
    <row r="540">
      <c r="A540" s="21"/>
      <c r="B540" s="21"/>
      <c r="C540" s="21"/>
      <c r="D540" s="21"/>
      <c r="E540" s="21"/>
      <c r="F540" s="21" t="s">
        <v>33</v>
      </c>
      <c r="G540" s="21">
        <v>3815.0</v>
      </c>
      <c r="H540" s="26">
        <v>38.95118</v>
      </c>
      <c r="I540" s="26">
        <v>-112.633943</v>
      </c>
      <c r="J540" s="21">
        <v>1414.2</v>
      </c>
      <c r="K540" s="11">
        <v>23825.561</v>
      </c>
      <c r="L540" s="11">
        <v>-38355.198</v>
      </c>
      <c r="M540" s="11">
        <v>-115.891</v>
      </c>
      <c r="N540" s="11">
        <v>23825.544</v>
      </c>
      <c r="O540" s="11">
        <v>-38355.171</v>
      </c>
      <c r="P540" s="11">
        <v>-120.381</v>
      </c>
      <c r="Q540" s="11">
        <v>1428.74</v>
      </c>
      <c r="R540" s="11">
        <v>-20.03</v>
      </c>
      <c r="S540" s="12">
        <v>0.89</v>
      </c>
      <c r="T540" s="14">
        <f t="shared" si="7"/>
        <v>1409.71</v>
      </c>
      <c r="U540" s="14">
        <f t="shared" si="2"/>
        <v>4.49</v>
      </c>
      <c r="V540" s="14">
        <f t="shared" si="3"/>
        <v>-0.07798414918</v>
      </c>
      <c r="W540" s="15" t="str">
        <f t="shared" si="4"/>
        <v/>
      </c>
      <c r="X540" s="11">
        <f t="shared" si="5"/>
        <v>1409.648</v>
      </c>
      <c r="Y540" s="14">
        <f t="shared" si="6"/>
        <v>0.062</v>
      </c>
      <c r="Z540" s="25"/>
      <c r="AA540" s="21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</row>
    <row r="541">
      <c r="A541" s="21"/>
      <c r="B541" s="21"/>
      <c r="C541" s="21"/>
      <c r="D541" s="21"/>
      <c r="E541" s="21"/>
      <c r="F541" s="21" t="s">
        <v>33</v>
      </c>
      <c r="G541" s="21">
        <v>3816.0</v>
      </c>
      <c r="H541" s="26">
        <v>38.951057</v>
      </c>
      <c r="I541" s="26">
        <v>-112.610776</v>
      </c>
      <c r="J541" s="21">
        <v>1414.88</v>
      </c>
      <c r="K541" s="11">
        <v>25834.28</v>
      </c>
      <c r="L541" s="11">
        <v>-38362.501</v>
      </c>
      <c r="M541" s="11">
        <v>-123.063</v>
      </c>
      <c r="N541" s="11">
        <v>25834.258</v>
      </c>
      <c r="O541" s="11">
        <v>-38362.469</v>
      </c>
      <c r="P541" s="11">
        <v>-128.453</v>
      </c>
      <c r="Q541" s="11">
        <v>1428.46</v>
      </c>
      <c r="R541" s="11">
        <v>-19.97</v>
      </c>
      <c r="S541" s="12">
        <v>0.89</v>
      </c>
      <c r="T541" s="14">
        <f t="shared" si="7"/>
        <v>1409.49</v>
      </c>
      <c r="U541" s="14">
        <f t="shared" si="2"/>
        <v>5.39</v>
      </c>
      <c r="V541" s="14">
        <f t="shared" si="3"/>
        <v>1.054043823</v>
      </c>
      <c r="W541" s="15" t="str">
        <f t="shared" si="4"/>
        <v/>
      </c>
      <c r="X541" s="11">
        <f t="shared" si="5"/>
        <v>1410.328</v>
      </c>
      <c r="Y541" s="14">
        <f t="shared" si="6"/>
        <v>-0.838</v>
      </c>
      <c r="Z541" s="25"/>
      <c r="AA541" s="21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</row>
    <row r="542">
      <c r="A542" s="21"/>
      <c r="B542" s="21"/>
      <c r="C542" s="21"/>
      <c r="D542" s="21"/>
      <c r="E542" s="21"/>
      <c r="F542" s="21" t="s">
        <v>33</v>
      </c>
      <c r="G542" s="21">
        <v>3817.0</v>
      </c>
      <c r="H542" s="26">
        <v>38.951852</v>
      </c>
      <c r="I542" s="26">
        <v>-112.586038</v>
      </c>
      <c r="J542" s="21">
        <v>1410.55</v>
      </c>
      <c r="K542" s="11">
        <v>27978.832</v>
      </c>
      <c r="L542" s="11">
        <v>-38266.843</v>
      </c>
      <c r="M542" s="11">
        <v>-135.851</v>
      </c>
      <c r="N542" s="11">
        <v>27978.813</v>
      </c>
      <c r="O542" s="11">
        <v>-38266.817</v>
      </c>
      <c r="P542" s="11">
        <v>-140.17</v>
      </c>
      <c r="Q542" s="11">
        <v>1425.13</v>
      </c>
      <c r="R542" s="11">
        <v>-19.9</v>
      </c>
      <c r="S542" s="12">
        <v>0.89</v>
      </c>
      <c r="T542" s="14">
        <f t="shared" si="7"/>
        <v>1406.23</v>
      </c>
      <c r="U542" s="14">
        <f t="shared" si="2"/>
        <v>4.32</v>
      </c>
      <c r="V542" s="14">
        <f t="shared" si="3"/>
        <v>-0.291811655</v>
      </c>
      <c r="W542" s="15" t="str">
        <f t="shared" si="4"/>
        <v/>
      </c>
      <c r="X542" s="11">
        <f t="shared" si="5"/>
        <v>1405.998</v>
      </c>
      <c r="Y542" s="14">
        <f t="shared" si="6"/>
        <v>0.232</v>
      </c>
      <c r="Z542" s="25"/>
      <c r="AA542" s="21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</row>
    <row r="543">
      <c r="A543" s="21"/>
      <c r="B543" s="21"/>
      <c r="C543" s="21"/>
      <c r="D543" s="21"/>
      <c r="E543" s="21"/>
      <c r="F543" s="21" t="s">
        <v>33</v>
      </c>
      <c r="G543" s="21">
        <v>3908.0</v>
      </c>
      <c r="H543" s="26">
        <v>38.967471</v>
      </c>
      <c r="I543" s="26">
        <v>-112.80241</v>
      </c>
      <c r="J543" s="21">
        <v>1430.03</v>
      </c>
      <c r="K543" s="11">
        <v>9216.611</v>
      </c>
      <c r="L543" s="11">
        <v>-36577.147</v>
      </c>
      <c r="M543" s="11">
        <v>-51.807</v>
      </c>
      <c r="N543" s="11">
        <v>9216.604</v>
      </c>
      <c r="O543" s="11">
        <v>-36577.119</v>
      </c>
      <c r="P543" s="11">
        <v>-56.677</v>
      </c>
      <c r="Q543" s="11">
        <v>1444.27</v>
      </c>
      <c r="R543" s="11">
        <v>-20.11</v>
      </c>
      <c r="S543" s="12">
        <v>0.89</v>
      </c>
      <c r="T543" s="14">
        <f t="shared" si="7"/>
        <v>1425.16</v>
      </c>
      <c r="U543" s="14">
        <f t="shared" si="2"/>
        <v>4.87</v>
      </c>
      <c r="V543" s="14">
        <f t="shared" si="3"/>
        <v>0.3999832168</v>
      </c>
      <c r="W543" s="15" t="str">
        <f t="shared" si="4"/>
        <v/>
      </c>
      <c r="X543" s="11">
        <f t="shared" si="5"/>
        <v>1425.478</v>
      </c>
      <c r="Y543" s="14">
        <f t="shared" si="6"/>
        <v>-0.318</v>
      </c>
      <c r="Z543" s="25"/>
      <c r="AA543" s="21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</row>
    <row r="544">
      <c r="A544" s="21"/>
      <c r="B544" s="21"/>
      <c r="C544" s="21"/>
      <c r="D544" s="21"/>
      <c r="E544" s="21"/>
      <c r="F544" s="21" t="s">
        <v>33</v>
      </c>
      <c r="G544" s="21">
        <v>3909.0</v>
      </c>
      <c r="H544" s="26">
        <v>38.96785</v>
      </c>
      <c r="I544" s="26">
        <v>-112.778397</v>
      </c>
      <c r="J544" s="21">
        <v>1419.02</v>
      </c>
      <c r="K544" s="11">
        <v>11298.105</v>
      </c>
      <c r="L544" s="11">
        <v>-36532.277</v>
      </c>
      <c r="M544" s="11">
        <v>-65.902</v>
      </c>
      <c r="N544" s="11">
        <v>11298.097</v>
      </c>
      <c r="O544" s="11">
        <v>-36532.25</v>
      </c>
      <c r="P544" s="11">
        <v>-70.731</v>
      </c>
      <c r="Q544" s="11">
        <v>1433.32</v>
      </c>
      <c r="R544" s="11">
        <v>-20.13</v>
      </c>
      <c r="S544" s="12">
        <v>0.89</v>
      </c>
      <c r="T544" s="14">
        <f t="shared" si="7"/>
        <v>1414.19</v>
      </c>
      <c r="U544" s="14">
        <f t="shared" si="2"/>
        <v>4.83</v>
      </c>
      <c r="V544" s="14">
        <f t="shared" si="3"/>
        <v>0.3496708625</v>
      </c>
      <c r="W544" s="15" t="str">
        <f t="shared" si="4"/>
        <v/>
      </c>
      <c r="X544" s="11">
        <f t="shared" si="5"/>
        <v>1414.468</v>
      </c>
      <c r="Y544" s="14">
        <f t="shared" si="6"/>
        <v>-0.278</v>
      </c>
      <c r="Z544" s="25"/>
      <c r="AA544" s="21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</row>
    <row r="545">
      <c r="A545" s="21"/>
      <c r="B545" s="21"/>
      <c r="C545" s="21"/>
      <c r="D545" s="21"/>
      <c r="E545" s="21"/>
      <c r="F545" s="21" t="s">
        <v>33</v>
      </c>
      <c r="G545" s="21">
        <v>3910.0</v>
      </c>
      <c r="H545" s="26">
        <v>38.967148</v>
      </c>
      <c r="I545" s="26">
        <v>-112.755478</v>
      </c>
      <c r="J545" s="21">
        <v>1406.38</v>
      </c>
      <c r="K545" s="11">
        <v>13284.934</v>
      </c>
      <c r="L545" s="11">
        <v>-36607.039</v>
      </c>
      <c r="M545" s="11">
        <v>-82.795</v>
      </c>
      <c r="N545" s="11">
        <v>13284.921</v>
      </c>
      <c r="O545" s="11">
        <v>-36607.003</v>
      </c>
      <c r="P545" s="11">
        <v>-89.034</v>
      </c>
      <c r="Q545" s="11">
        <v>1419.28</v>
      </c>
      <c r="R545" s="11">
        <v>-20.14</v>
      </c>
      <c r="S545" s="12">
        <v>0.89</v>
      </c>
      <c r="T545" s="14">
        <f t="shared" si="7"/>
        <v>1400.14</v>
      </c>
      <c r="U545" s="14">
        <f t="shared" si="2"/>
        <v>6.24</v>
      </c>
      <c r="V545" s="14">
        <f t="shared" si="3"/>
        <v>2.123181352</v>
      </c>
      <c r="W545" s="15" t="str">
        <f t="shared" si="4"/>
        <v/>
      </c>
      <c r="X545" s="11">
        <f t="shared" si="5"/>
        <v>1401.828</v>
      </c>
      <c r="Y545" s="14">
        <f t="shared" si="6"/>
        <v>-1.688</v>
      </c>
      <c r="Z545" s="25"/>
      <c r="AA545" s="21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</row>
    <row r="546">
      <c r="A546" s="21"/>
      <c r="B546" s="21"/>
      <c r="C546" s="21"/>
      <c r="D546" s="21"/>
      <c r="E546" s="21"/>
      <c r="F546" s="21" t="s">
        <v>33</v>
      </c>
      <c r="G546" s="21">
        <v>3911.0</v>
      </c>
      <c r="H546" s="26">
        <v>38.968534</v>
      </c>
      <c r="I546" s="26">
        <v>-112.730395</v>
      </c>
      <c r="J546" s="21">
        <v>1406.51</v>
      </c>
      <c r="K546" s="11">
        <v>15458.957</v>
      </c>
      <c r="L546" s="11">
        <v>-36449.157</v>
      </c>
      <c r="M546" s="11">
        <v>-86.649</v>
      </c>
      <c r="N546" s="11">
        <v>15458.951</v>
      </c>
      <c r="O546" s="11">
        <v>-36449.143</v>
      </c>
      <c r="P546" s="11">
        <v>-89.229</v>
      </c>
      <c r="Q546" s="11">
        <v>1423.08</v>
      </c>
      <c r="R546" s="11">
        <v>-20.15</v>
      </c>
      <c r="S546" s="12">
        <v>0.89</v>
      </c>
      <c r="T546" s="14">
        <f t="shared" si="7"/>
        <v>1403.93</v>
      </c>
      <c r="U546" s="14">
        <f t="shared" si="2"/>
        <v>2.58</v>
      </c>
      <c r="V546" s="14">
        <f t="shared" si="3"/>
        <v>-2.480399068</v>
      </c>
      <c r="W546" s="15" t="str">
        <f t="shared" si="4"/>
        <v/>
      </c>
      <c r="X546" s="11">
        <f t="shared" si="5"/>
        <v>1401.958</v>
      </c>
      <c r="Y546" s="14">
        <f t="shared" si="6"/>
        <v>1.972</v>
      </c>
      <c r="Z546" s="25"/>
      <c r="AA546" s="21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</row>
    <row r="547">
      <c r="A547" s="21"/>
      <c r="B547" s="21"/>
      <c r="C547" s="21"/>
      <c r="D547" s="21"/>
      <c r="E547" s="21"/>
      <c r="F547" s="21" t="s">
        <v>33</v>
      </c>
      <c r="G547" s="21">
        <v>3912.0</v>
      </c>
      <c r="H547" s="26">
        <v>38.968852</v>
      </c>
      <c r="I547" s="26">
        <v>-112.706475</v>
      </c>
      <c r="J547" s="21">
        <v>1404.62</v>
      </c>
      <c r="K547" s="11">
        <v>17532.34</v>
      </c>
      <c r="L547" s="11">
        <v>-36409.475</v>
      </c>
      <c r="M547" s="11">
        <v>-93.666</v>
      </c>
      <c r="N547" s="11">
        <v>17532.329</v>
      </c>
      <c r="O547" s="11">
        <v>-36409.452</v>
      </c>
      <c r="P547" s="11">
        <v>-97.706</v>
      </c>
      <c r="Q547" s="11">
        <v>1419.71</v>
      </c>
      <c r="R547" s="11">
        <v>-20.13</v>
      </c>
      <c r="S547" s="12">
        <v>0.89</v>
      </c>
      <c r="T547" s="14">
        <f t="shared" si="7"/>
        <v>1400.58</v>
      </c>
      <c r="U547" s="14">
        <f t="shared" si="2"/>
        <v>4.04</v>
      </c>
      <c r="V547" s="14">
        <f t="shared" si="3"/>
        <v>-0.6439981352</v>
      </c>
      <c r="W547" s="15" t="str">
        <f t="shared" si="4"/>
        <v/>
      </c>
      <c r="X547" s="11">
        <f t="shared" si="5"/>
        <v>1400.068</v>
      </c>
      <c r="Y547" s="14">
        <f t="shared" si="6"/>
        <v>0.512</v>
      </c>
      <c r="Z547" s="25"/>
      <c r="AA547" s="21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</row>
    <row r="548">
      <c r="A548" s="21"/>
      <c r="B548" s="21"/>
      <c r="C548" s="21"/>
      <c r="D548" s="21"/>
      <c r="E548" s="21"/>
      <c r="F548" s="21" t="s">
        <v>33</v>
      </c>
      <c r="G548" s="21">
        <v>3913.0</v>
      </c>
      <c r="H548" s="26">
        <v>38.969259</v>
      </c>
      <c r="I548" s="26">
        <v>-112.682475</v>
      </c>
      <c r="J548" s="21">
        <v>1409.45</v>
      </c>
      <c r="K548" s="11">
        <v>19612.63</v>
      </c>
      <c r="L548" s="11">
        <v>-36359.383</v>
      </c>
      <c r="M548" s="11">
        <v>-94.598</v>
      </c>
      <c r="N548" s="11">
        <v>19612.619</v>
      </c>
      <c r="O548" s="11">
        <v>-36359.363</v>
      </c>
      <c r="P548" s="11">
        <v>-98.158</v>
      </c>
      <c r="Q548" s="11">
        <v>1425.0</v>
      </c>
      <c r="R548" s="11">
        <v>-20.11</v>
      </c>
      <c r="S548" s="12">
        <v>0.89</v>
      </c>
      <c r="T548" s="14">
        <f t="shared" si="7"/>
        <v>1405.89</v>
      </c>
      <c r="U548" s="14">
        <f t="shared" si="2"/>
        <v>3.56</v>
      </c>
      <c r="V548" s="14">
        <f t="shared" si="3"/>
        <v>-1.247746387</v>
      </c>
      <c r="W548" s="15" t="str">
        <f t="shared" si="4"/>
        <v/>
      </c>
      <c r="X548" s="11">
        <f t="shared" si="5"/>
        <v>1404.898</v>
      </c>
      <c r="Y548" s="14">
        <f t="shared" si="6"/>
        <v>0.992</v>
      </c>
      <c r="Z548" s="25"/>
      <c r="AA548" s="21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</row>
    <row r="549">
      <c r="A549" s="21"/>
      <c r="B549" s="21"/>
      <c r="C549" s="21"/>
      <c r="D549" s="21"/>
      <c r="E549" s="21"/>
      <c r="F549" s="21" t="s">
        <v>33</v>
      </c>
      <c r="G549" s="21">
        <v>3914.0</v>
      </c>
      <c r="H549" s="26">
        <v>38.969628</v>
      </c>
      <c r="I549" s="26">
        <v>-112.658681</v>
      </c>
      <c r="J549" s="21">
        <v>1408.13</v>
      </c>
      <c r="K549" s="11">
        <v>21675.031</v>
      </c>
      <c r="L549" s="11">
        <v>-36312.973</v>
      </c>
      <c r="M549" s="11">
        <v>-102.318</v>
      </c>
      <c r="N549" s="11">
        <v>21675.013</v>
      </c>
      <c r="O549" s="11">
        <v>-36312.943</v>
      </c>
      <c r="P549" s="11">
        <v>-107.648</v>
      </c>
      <c r="Q549" s="11">
        <v>1421.87</v>
      </c>
      <c r="R549" s="11">
        <v>-20.07</v>
      </c>
      <c r="S549" s="12">
        <v>0.89</v>
      </c>
      <c r="T549" s="14">
        <f t="shared" si="7"/>
        <v>1402.8</v>
      </c>
      <c r="U549" s="14">
        <f t="shared" si="2"/>
        <v>5.33</v>
      </c>
      <c r="V549" s="14">
        <f t="shared" si="3"/>
        <v>0.9785752914</v>
      </c>
      <c r="W549" s="15" t="str">
        <f t="shared" si="4"/>
        <v/>
      </c>
      <c r="X549" s="11">
        <f t="shared" si="5"/>
        <v>1403.578</v>
      </c>
      <c r="Y549" s="14">
        <f t="shared" si="6"/>
        <v>-0.778</v>
      </c>
      <c r="Z549" s="25"/>
      <c r="AA549" s="21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</row>
    <row r="550">
      <c r="A550" s="21"/>
      <c r="B550" s="21"/>
      <c r="C550" s="21"/>
      <c r="D550" s="21"/>
      <c r="E550" s="21"/>
      <c r="F550" s="21" t="s">
        <v>33</v>
      </c>
      <c r="G550" s="21">
        <v>3915.0</v>
      </c>
      <c r="H550" s="26">
        <v>38.969953</v>
      </c>
      <c r="I550" s="26">
        <v>-112.634368</v>
      </c>
      <c r="J550" s="21">
        <v>1407.99</v>
      </c>
      <c r="K550" s="11">
        <v>23782.412</v>
      </c>
      <c r="L550" s="11">
        <v>-36270.777</v>
      </c>
      <c r="M550" s="11">
        <v>-109.716</v>
      </c>
      <c r="N550" s="11">
        <v>23782.403</v>
      </c>
      <c r="O550" s="11">
        <v>-36270.763</v>
      </c>
      <c r="P550" s="11">
        <v>-112.216</v>
      </c>
      <c r="Q550" s="11">
        <v>1424.51</v>
      </c>
      <c r="R550" s="11">
        <v>-20.02</v>
      </c>
      <c r="S550" s="12">
        <v>0.89</v>
      </c>
      <c r="T550" s="14">
        <f t="shared" si="7"/>
        <v>1405.49</v>
      </c>
      <c r="U550" s="14">
        <f t="shared" si="2"/>
        <v>2.5</v>
      </c>
      <c r="V550" s="14">
        <f t="shared" si="3"/>
        <v>-2.581023776</v>
      </c>
      <c r="W550" s="15" t="str">
        <f t="shared" si="4"/>
        <v/>
      </c>
      <c r="X550" s="11">
        <f t="shared" si="5"/>
        <v>1403.438</v>
      </c>
      <c r="Y550" s="14">
        <f t="shared" si="6"/>
        <v>2.052</v>
      </c>
      <c r="Z550" s="25"/>
      <c r="AA550" s="21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</row>
    <row r="551">
      <c r="A551" s="21"/>
      <c r="B551" s="21"/>
      <c r="C551" s="21"/>
      <c r="D551" s="21"/>
      <c r="E551" s="21"/>
      <c r="F551" s="21" t="s">
        <v>33</v>
      </c>
      <c r="G551" s="21">
        <v>3917.0</v>
      </c>
      <c r="H551" s="26">
        <v>38.970587</v>
      </c>
      <c r="I551" s="26">
        <v>-112.586407</v>
      </c>
      <c r="J551" s="21">
        <v>1403.2</v>
      </c>
      <c r="K551" s="11">
        <v>27939.447</v>
      </c>
      <c r="L551" s="11">
        <v>-36186.642</v>
      </c>
      <c r="M551" s="11">
        <v>-130.856</v>
      </c>
      <c r="N551" s="11">
        <v>27939.43</v>
      </c>
      <c r="O551" s="11">
        <v>-36186.619</v>
      </c>
      <c r="P551" s="11">
        <v>-134.856</v>
      </c>
      <c r="Q551" s="11">
        <v>1418.1</v>
      </c>
      <c r="R551" s="11">
        <v>-19.9</v>
      </c>
      <c r="S551" s="12">
        <v>0.89</v>
      </c>
      <c r="T551" s="14">
        <f t="shared" si="7"/>
        <v>1399.2</v>
      </c>
      <c r="U551" s="14">
        <f t="shared" si="2"/>
        <v>4</v>
      </c>
      <c r="V551" s="14">
        <f t="shared" si="3"/>
        <v>-0.6943104895</v>
      </c>
      <c r="W551" s="15" t="str">
        <f t="shared" si="4"/>
        <v/>
      </c>
      <c r="X551" s="11">
        <f t="shared" si="5"/>
        <v>1398.648</v>
      </c>
      <c r="Y551" s="14">
        <f t="shared" si="6"/>
        <v>0.552</v>
      </c>
      <c r="Z551" s="25"/>
      <c r="AA551" s="21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</row>
    <row r="552">
      <c r="A552" s="21"/>
      <c r="B552" s="21"/>
      <c r="C552" s="21"/>
      <c r="D552" s="21"/>
      <c r="E552" s="21"/>
      <c r="F552" s="21" t="s">
        <v>33</v>
      </c>
      <c r="G552" s="21">
        <v>3918.0</v>
      </c>
      <c r="H552" s="26">
        <v>38.970376</v>
      </c>
      <c r="I552" s="26">
        <v>-112.563426</v>
      </c>
      <c r="J552" s="21">
        <v>1411.26</v>
      </c>
      <c r="K552" s="11">
        <v>29931.563</v>
      </c>
      <c r="L552" s="11">
        <v>-36202.766</v>
      </c>
      <c r="M552" s="11">
        <v>-131.912</v>
      </c>
      <c r="N552" s="11">
        <v>29931.537</v>
      </c>
      <c r="O552" s="11">
        <v>-36202.734</v>
      </c>
      <c r="P552" s="11">
        <v>-137.542</v>
      </c>
      <c r="Q552" s="11">
        <v>1424.45</v>
      </c>
      <c r="R552" s="11">
        <v>-19.82</v>
      </c>
      <c r="S552" s="12">
        <v>0.89</v>
      </c>
      <c r="T552" s="14">
        <f t="shared" si="7"/>
        <v>1405.63</v>
      </c>
      <c r="U552" s="14">
        <f t="shared" si="2"/>
        <v>5.63</v>
      </c>
      <c r="V552" s="14">
        <f t="shared" si="3"/>
        <v>1.355917949</v>
      </c>
      <c r="W552" s="15" t="str">
        <f t="shared" si="4"/>
        <v/>
      </c>
      <c r="X552" s="11">
        <f t="shared" si="5"/>
        <v>1406.708</v>
      </c>
      <c r="Y552" s="14">
        <f t="shared" si="6"/>
        <v>-1.078</v>
      </c>
      <c r="Z552" s="25"/>
      <c r="AA552" s="21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</row>
    <row r="553">
      <c r="A553" s="21"/>
      <c r="B553" s="21"/>
      <c r="C553" s="21"/>
      <c r="D553" s="21"/>
      <c r="E553" s="21"/>
      <c r="F553" s="21" t="s">
        <v>33</v>
      </c>
      <c r="G553" s="21">
        <v>4009.0</v>
      </c>
      <c r="H553" s="26">
        <v>38.986508</v>
      </c>
      <c r="I553" s="26">
        <v>-112.778918</v>
      </c>
      <c r="J553" s="21">
        <v>1415.88</v>
      </c>
      <c r="K553" s="11">
        <v>11249.984</v>
      </c>
      <c r="L553" s="11">
        <v>-34460.579</v>
      </c>
      <c r="M553" s="11">
        <v>-57.398</v>
      </c>
      <c r="N553" s="11">
        <v>11249.977</v>
      </c>
      <c r="O553" s="11">
        <v>-34460.555</v>
      </c>
      <c r="P553" s="11">
        <v>-61.878</v>
      </c>
      <c r="Q553" s="11">
        <v>1430.52</v>
      </c>
      <c r="R553" s="11">
        <v>-20.12</v>
      </c>
      <c r="S553" s="12">
        <v>0.89</v>
      </c>
      <c r="T553" s="14">
        <f t="shared" si="7"/>
        <v>1411.4</v>
      </c>
      <c r="U553" s="14">
        <f t="shared" si="2"/>
        <v>4.48</v>
      </c>
      <c r="V553" s="14">
        <f t="shared" si="3"/>
        <v>-0.09056223776</v>
      </c>
      <c r="W553" s="15" t="str">
        <f t="shared" si="4"/>
        <v/>
      </c>
      <c r="X553" s="11">
        <f t="shared" si="5"/>
        <v>1411.328</v>
      </c>
      <c r="Y553" s="14">
        <f t="shared" si="6"/>
        <v>0.072</v>
      </c>
      <c r="Z553" s="25"/>
      <c r="AA553" s="21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</row>
    <row r="554">
      <c r="A554" s="21"/>
      <c r="B554" s="21"/>
      <c r="C554" s="21"/>
      <c r="D554" s="21"/>
      <c r="E554" s="21"/>
      <c r="F554" s="21" t="s">
        <v>33</v>
      </c>
      <c r="G554" s="21">
        <v>4010.0</v>
      </c>
      <c r="H554" s="26">
        <v>38.986884</v>
      </c>
      <c r="I554" s="26">
        <v>-112.754932</v>
      </c>
      <c r="J554" s="21">
        <v>1402.85</v>
      </c>
      <c r="K554" s="11">
        <v>13328.557</v>
      </c>
      <c r="L554" s="11">
        <v>-34415.5</v>
      </c>
      <c r="M554" s="11">
        <v>-74.183</v>
      </c>
      <c r="N554" s="11">
        <v>13328.55</v>
      </c>
      <c r="O554" s="11">
        <v>-34415.483</v>
      </c>
      <c r="P554" s="11">
        <v>-77.293</v>
      </c>
      <c r="Q554" s="11">
        <v>1418.87</v>
      </c>
      <c r="R554" s="11">
        <v>-20.13</v>
      </c>
      <c r="S554" s="12">
        <v>0.89</v>
      </c>
      <c r="T554" s="14">
        <f t="shared" si="7"/>
        <v>1399.74</v>
      </c>
      <c r="U554" s="14">
        <f t="shared" si="2"/>
        <v>3.11</v>
      </c>
      <c r="V554" s="14">
        <f t="shared" si="3"/>
        <v>-1.813760373</v>
      </c>
      <c r="W554" s="15" t="str">
        <f t="shared" si="4"/>
        <v/>
      </c>
      <c r="X554" s="11">
        <f t="shared" si="5"/>
        <v>1398.298</v>
      </c>
      <c r="Y554" s="14">
        <f t="shared" si="6"/>
        <v>1.442</v>
      </c>
      <c r="Z554" s="25"/>
      <c r="AA554" s="21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</row>
    <row r="555">
      <c r="A555" s="21"/>
      <c r="B555" s="21"/>
      <c r="C555" s="21"/>
      <c r="D555" s="21"/>
      <c r="E555" s="21"/>
      <c r="F555" s="21" t="s">
        <v>33</v>
      </c>
      <c r="G555" s="21">
        <v>4011.0</v>
      </c>
      <c r="H555" s="26">
        <v>38.987238</v>
      </c>
      <c r="I555" s="26">
        <v>-112.730871</v>
      </c>
      <c r="J555" s="21">
        <v>1402.35</v>
      </c>
      <c r="K555" s="11">
        <v>15413.63</v>
      </c>
      <c r="L555" s="11">
        <v>-34372.367</v>
      </c>
      <c r="M555" s="11">
        <v>-79.141</v>
      </c>
      <c r="N555" s="11">
        <v>15413.623</v>
      </c>
      <c r="O555" s="11">
        <v>-34372.351</v>
      </c>
      <c r="P555" s="11">
        <v>-82.211</v>
      </c>
      <c r="Q555" s="11">
        <v>1418.41</v>
      </c>
      <c r="R555" s="11">
        <v>-20.13</v>
      </c>
      <c r="S555" s="12">
        <v>0.89</v>
      </c>
      <c r="T555" s="14">
        <f t="shared" si="7"/>
        <v>1399.28</v>
      </c>
      <c r="U555" s="14">
        <f t="shared" si="2"/>
        <v>3.07</v>
      </c>
      <c r="V555" s="14">
        <f t="shared" si="3"/>
        <v>-1.864072727</v>
      </c>
      <c r="W555" s="15" t="str">
        <f t="shared" si="4"/>
        <v/>
      </c>
      <c r="X555" s="11">
        <f t="shared" si="5"/>
        <v>1397.798</v>
      </c>
      <c r="Y555" s="14">
        <f t="shared" si="6"/>
        <v>1.482</v>
      </c>
      <c r="Z555" s="25"/>
      <c r="AA555" s="21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</row>
    <row r="556">
      <c r="A556" s="21"/>
      <c r="B556" s="21"/>
      <c r="C556" s="21"/>
      <c r="D556" s="21"/>
      <c r="E556" s="21"/>
      <c r="F556" s="21" t="s">
        <v>33</v>
      </c>
      <c r="G556" s="21">
        <v>4012.0</v>
      </c>
      <c r="H556" s="26">
        <v>38.987596</v>
      </c>
      <c r="I556" s="26">
        <v>-112.706943</v>
      </c>
      <c r="J556" s="21">
        <v>1403.43</v>
      </c>
      <c r="K556" s="11">
        <v>17487.158</v>
      </c>
      <c r="L556" s="11">
        <v>-34328.271</v>
      </c>
      <c r="M556" s="11">
        <v>-83.162</v>
      </c>
      <c r="N556" s="11">
        <v>17487.147</v>
      </c>
      <c r="O556" s="11">
        <v>-34328.248</v>
      </c>
      <c r="P556" s="11">
        <v>-87.302</v>
      </c>
      <c r="Q556" s="11">
        <v>1418.41</v>
      </c>
      <c r="R556" s="11">
        <v>-20.12</v>
      </c>
      <c r="S556" s="12">
        <v>0.89</v>
      </c>
      <c r="T556" s="14">
        <f t="shared" si="7"/>
        <v>1399.29</v>
      </c>
      <c r="U556" s="14">
        <f t="shared" si="2"/>
        <v>4.14</v>
      </c>
      <c r="V556" s="14">
        <f t="shared" si="3"/>
        <v>-0.5182172494</v>
      </c>
      <c r="W556" s="15" t="str">
        <f t="shared" si="4"/>
        <v/>
      </c>
      <c r="X556" s="11">
        <f t="shared" si="5"/>
        <v>1398.878</v>
      </c>
      <c r="Y556" s="14">
        <f t="shared" si="6"/>
        <v>0.412</v>
      </c>
      <c r="Z556" s="25"/>
      <c r="AA556" s="21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</row>
    <row r="557">
      <c r="A557" s="21"/>
      <c r="B557" s="21"/>
      <c r="C557" s="21"/>
      <c r="D557" s="21"/>
      <c r="E557" s="21"/>
      <c r="F557" s="21" t="s">
        <v>33</v>
      </c>
      <c r="G557" s="21">
        <v>4013.0</v>
      </c>
      <c r="H557" s="26">
        <v>38.987928</v>
      </c>
      <c r="I557" s="26">
        <v>-112.682928</v>
      </c>
      <c r="J557" s="21">
        <v>1403.39</v>
      </c>
      <c r="K557" s="11">
        <v>19568.206</v>
      </c>
      <c r="L557" s="11">
        <v>-34286.488</v>
      </c>
      <c r="M557" s="11">
        <v>-89.013</v>
      </c>
      <c r="N557" s="11">
        <v>19568.187</v>
      </c>
      <c r="O557" s="11">
        <v>-34286.455</v>
      </c>
      <c r="P557" s="11">
        <v>-95.113</v>
      </c>
      <c r="Q557" s="11">
        <v>1416.38</v>
      </c>
      <c r="R557" s="11">
        <v>-20.09</v>
      </c>
      <c r="S557" s="12">
        <v>0.89</v>
      </c>
      <c r="T557" s="14">
        <f t="shared" si="7"/>
        <v>1397.29</v>
      </c>
      <c r="U557" s="14">
        <f t="shared" si="2"/>
        <v>6.1</v>
      </c>
      <c r="V557" s="14">
        <f t="shared" si="3"/>
        <v>1.947088112</v>
      </c>
      <c r="W557" s="15" t="str">
        <f t="shared" si="4"/>
        <v/>
      </c>
      <c r="X557" s="11">
        <f t="shared" si="5"/>
        <v>1398.838</v>
      </c>
      <c r="Y557" s="14">
        <f t="shared" si="6"/>
        <v>-1.548</v>
      </c>
      <c r="Z557" s="25"/>
      <c r="AA557" s="21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</row>
    <row r="558">
      <c r="A558" s="21"/>
      <c r="B558" s="21"/>
      <c r="C558" s="21"/>
      <c r="D558" s="21"/>
      <c r="E558" s="21"/>
      <c r="F558" s="21" t="s">
        <v>33</v>
      </c>
      <c r="G558" s="21">
        <v>4014.0</v>
      </c>
      <c r="H558" s="26">
        <v>38.988302</v>
      </c>
      <c r="I558" s="26">
        <v>-112.658846</v>
      </c>
      <c r="J558" s="21">
        <v>1403.5</v>
      </c>
      <c r="K558" s="11">
        <v>21655.024</v>
      </c>
      <c r="L558" s="11">
        <v>-34239.473</v>
      </c>
      <c r="M558" s="11">
        <v>-95.383</v>
      </c>
      <c r="N558" s="11">
        <v>21655.01</v>
      </c>
      <c r="O558" s="11">
        <v>-34239.451</v>
      </c>
      <c r="P558" s="11">
        <v>-99.533</v>
      </c>
      <c r="Q558" s="11">
        <v>1418.41</v>
      </c>
      <c r="R558" s="11">
        <v>-20.06</v>
      </c>
      <c r="S558" s="12">
        <v>0.89</v>
      </c>
      <c r="T558" s="14">
        <f t="shared" si="7"/>
        <v>1399.35</v>
      </c>
      <c r="U558" s="14">
        <f t="shared" si="2"/>
        <v>4.15</v>
      </c>
      <c r="V558" s="14">
        <f t="shared" si="3"/>
        <v>-0.5056391608</v>
      </c>
      <c r="W558" s="15" t="str">
        <f t="shared" si="4"/>
        <v/>
      </c>
      <c r="X558" s="11">
        <f t="shared" si="5"/>
        <v>1398.948</v>
      </c>
      <c r="Y558" s="14">
        <f t="shared" si="6"/>
        <v>0.402</v>
      </c>
      <c r="Z558" s="25"/>
      <c r="AA558" s="21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</row>
    <row r="559">
      <c r="A559" s="21"/>
      <c r="B559" s="21"/>
      <c r="C559" s="21"/>
      <c r="D559" s="21"/>
      <c r="E559" s="21"/>
      <c r="F559" s="21" t="s">
        <v>33</v>
      </c>
      <c r="G559" s="21">
        <v>4015.0</v>
      </c>
      <c r="H559" s="26">
        <v>38.98852</v>
      </c>
      <c r="I559" s="26">
        <v>-112.634927</v>
      </c>
      <c r="J559" s="21">
        <v>1409.53</v>
      </c>
      <c r="K559" s="11">
        <v>23727.765</v>
      </c>
      <c r="L559" s="11">
        <v>-34209.3</v>
      </c>
      <c r="M559" s="11">
        <v>-96.554</v>
      </c>
      <c r="N559" s="11">
        <v>23727.753</v>
      </c>
      <c r="O559" s="11">
        <v>-34209.283</v>
      </c>
      <c r="P559" s="11">
        <v>-99.774</v>
      </c>
      <c r="Q559" s="11">
        <v>1425.33</v>
      </c>
      <c r="R559" s="11">
        <v>-20.02</v>
      </c>
      <c r="S559" s="12">
        <v>0.89</v>
      </c>
      <c r="T559" s="14">
        <f t="shared" si="7"/>
        <v>1406.31</v>
      </c>
      <c r="U559" s="14">
        <f t="shared" si="2"/>
        <v>3.22</v>
      </c>
      <c r="V559" s="14">
        <f t="shared" si="3"/>
        <v>-1.675401399</v>
      </c>
      <c r="W559" s="15" t="str">
        <f t="shared" si="4"/>
        <v/>
      </c>
      <c r="X559" s="11">
        <f t="shared" si="5"/>
        <v>1404.978</v>
      </c>
      <c r="Y559" s="14">
        <f t="shared" si="6"/>
        <v>1.332</v>
      </c>
      <c r="Z559" s="25"/>
      <c r="AA559" s="21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</row>
    <row r="560">
      <c r="A560" s="21"/>
      <c r="B560" s="21"/>
      <c r="C560" s="21"/>
      <c r="D560" s="21"/>
      <c r="E560" s="21"/>
      <c r="F560" s="21" t="s">
        <v>33</v>
      </c>
      <c r="G560" s="21">
        <v>4016.0</v>
      </c>
      <c r="H560" s="26">
        <v>38.989017</v>
      </c>
      <c r="I560" s="26">
        <v>-112.610854</v>
      </c>
      <c r="J560" s="21">
        <v>1401.96</v>
      </c>
      <c r="K560" s="11">
        <v>25813.683</v>
      </c>
      <c r="L560" s="11">
        <v>-34147.482</v>
      </c>
      <c r="M560" s="11">
        <v>-111.881</v>
      </c>
      <c r="N560" s="11">
        <v>25813.673</v>
      </c>
      <c r="O560" s="11">
        <v>-34147.468</v>
      </c>
      <c r="P560" s="11">
        <v>-114.411</v>
      </c>
      <c r="Q560" s="11">
        <v>1418.4</v>
      </c>
      <c r="R560" s="11">
        <v>-19.97</v>
      </c>
      <c r="S560" s="12">
        <v>0.89</v>
      </c>
      <c r="T560" s="14">
        <f t="shared" si="7"/>
        <v>1399.43</v>
      </c>
      <c r="U560" s="14">
        <f t="shared" si="2"/>
        <v>2.53</v>
      </c>
      <c r="V560" s="14">
        <f t="shared" si="3"/>
        <v>-2.54328951</v>
      </c>
      <c r="W560" s="15" t="str">
        <f t="shared" si="4"/>
        <v/>
      </c>
      <c r="X560" s="11">
        <f t="shared" si="5"/>
        <v>1397.408</v>
      </c>
      <c r="Y560" s="14">
        <f t="shared" si="6"/>
        <v>2.022</v>
      </c>
      <c r="Z560" s="25"/>
      <c r="AA560" s="21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</row>
    <row r="561">
      <c r="A561" s="21"/>
      <c r="B561" s="21"/>
      <c r="C561" s="21"/>
      <c r="D561" s="21"/>
      <c r="E561" s="21"/>
      <c r="F561" s="21" t="s">
        <v>33</v>
      </c>
      <c r="G561" s="21">
        <v>4017.0</v>
      </c>
      <c r="H561" s="26">
        <v>38.989069</v>
      </c>
      <c r="I561" s="26">
        <v>-112.587136</v>
      </c>
      <c r="J561" s="21">
        <v>1412.0</v>
      </c>
      <c r="K561" s="11">
        <v>27869.05</v>
      </c>
      <c r="L561" s="11">
        <v>-34134.725</v>
      </c>
      <c r="M561" s="11">
        <v>-110.409</v>
      </c>
      <c r="N561" s="11">
        <v>27869.022</v>
      </c>
      <c r="O561" s="11">
        <v>-34134.69</v>
      </c>
      <c r="P561" s="11">
        <v>-116.928</v>
      </c>
      <c r="Q561" s="11">
        <v>1424.38</v>
      </c>
      <c r="R561" s="11">
        <v>-19.9</v>
      </c>
      <c r="S561" s="12">
        <v>0.89</v>
      </c>
      <c r="T561" s="14">
        <f t="shared" si="7"/>
        <v>1405.48</v>
      </c>
      <c r="U561" s="14">
        <f t="shared" si="2"/>
        <v>6.52</v>
      </c>
      <c r="V561" s="14">
        <f t="shared" si="3"/>
        <v>2.475367832</v>
      </c>
      <c r="W561" s="15" t="str">
        <f t="shared" si="4"/>
        <v/>
      </c>
      <c r="X561" s="11">
        <f t="shared" si="5"/>
        <v>1407.448</v>
      </c>
      <c r="Y561" s="14">
        <f t="shared" si="6"/>
        <v>-1.968</v>
      </c>
      <c r="Z561" s="25"/>
      <c r="AA561" s="21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</row>
    <row r="562">
      <c r="A562" s="21"/>
      <c r="B562" s="21"/>
      <c r="C562" s="21"/>
      <c r="D562" s="21"/>
      <c r="E562" s="21"/>
      <c r="F562" s="21" t="s">
        <v>33</v>
      </c>
      <c r="G562" s="21">
        <v>4018.0</v>
      </c>
      <c r="H562" s="26">
        <v>38.9896</v>
      </c>
      <c r="I562" s="26">
        <v>-112.562832</v>
      </c>
      <c r="J562" s="21">
        <v>1406.5</v>
      </c>
      <c r="K562" s="11">
        <v>29974.922</v>
      </c>
      <c r="L562" s="11">
        <v>-34067.964</v>
      </c>
      <c r="M562" s="11">
        <v>-125.085</v>
      </c>
      <c r="N562" s="11">
        <v>29974.899</v>
      </c>
      <c r="O562" s="11">
        <v>-34067.939</v>
      </c>
      <c r="P562" s="11">
        <v>-129.915</v>
      </c>
      <c r="Q562" s="11">
        <v>1420.49</v>
      </c>
      <c r="R562" s="11">
        <v>-19.82</v>
      </c>
      <c r="S562" s="12">
        <v>0.89</v>
      </c>
      <c r="T562" s="14">
        <f t="shared" si="7"/>
        <v>1401.67</v>
      </c>
      <c r="U562" s="14">
        <f t="shared" si="2"/>
        <v>4.83</v>
      </c>
      <c r="V562" s="14">
        <f t="shared" si="3"/>
        <v>0.3496708625</v>
      </c>
      <c r="W562" s="15" t="str">
        <f t="shared" si="4"/>
        <v/>
      </c>
      <c r="X562" s="11">
        <f t="shared" si="5"/>
        <v>1401.948</v>
      </c>
      <c r="Y562" s="14">
        <f t="shared" si="6"/>
        <v>-0.278</v>
      </c>
      <c r="Z562" s="25"/>
      <c r="AA562" s="21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</row>
    <row r="563">
      <c r="A563" s="21"/>
      <c r="B563" s="21"/>
      <c r="C563" s="21"/>
      <c r="D563" s="21"/>
      <c r="E563" s="21"/>
      <c r="F563" s="21" t="s">
        <v>33</v>
      </c>
      <c r="G563" s="21">
        <v>4107.0</v>
      </c>
      <c r="H563" s="26">
        <v>39.004537</v>
      </c>
      <c r="I563" s="26">
        <v>-112.827404</v>
      </c>
      <c r="J563" s="21">
        <v>1449.12</v>
      </c>
      <c r="K563" s="11">
        <v>7046.344</v>
      </c>
      <c r="L563" s="11">
        <v>-32463.739</v>
      </c>
      <c r="M563" s="11">
        <v>-7.635</v>
      </c>
      <c r="N563" s="11">
        <v>7046.337</v>
      </c>
      <c r="O563" s="11">
        <v>-32463.71</v>
      </c>
      <c r="P563" s="11">
        <v>-13.195</v>
      </c>
      <c r="Q563" s="11">
        <v>1462.62</v>
      </c>
      <c r="R563" s="11">
        <v>-20.06</v>
      </c>
      <c r="S563" s="12">
        <v>0.89</v>
      </c>
      <c r="T563" s="14">
        <f t="shared" si="7"/>
        <v>1443.56</v>
      </c>
      <c r="U563" s="14">
        <f t="shared" si="2"/>
        <v>5.56</v>
      </c>
      <c r="V563" s="14">
        <f t="shared" si="3"/>
        <v>1.267871329</v>
      </c>
      <c r="W563" s="15" t="str">
        <f t="shared" si="4"/>
        <v/>
      </c>
      <c r="X563" s="11">
        <f t="shared" si="5"/>
        <v>1444.568</v>
      </c>
      <c r="Y563" s="14">
        <f t="shared" si="6"/>
        <v>-1.008</v>
      </c>
      <c r="Z563" s="25"/>
      <c r="AA563" s="21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</row>
    <row r="564">
      <c r="A564" s="21"/>
      <c r="B564" s="21"/>
      <c r="C564" s="21"/>
      <c r="D564" s="21"/>
      <c r="E564" s="21"/>
      <c r="F564" s="21" t="s">
        <v>33</v>
      </c>
      <c r="G564" s="21">
        <v>4108.0</v>
      </c>
      <c r="H564" s="26">
        <v>39.004845</v>
      </c>
      <c r="I564" s="26">
        <v>-112.803398</v>
      </c>
      <c r="J564" s="21">
        <v>1421.18</v>
      </c>
      <c r="K564" s="11">
        <v>9126.154</v>
      </c>
      <c r="L564" s="11">
        <v>-32427.25</v>
      </c>
      <c r="M564" s="11">
        <v>-38.022</v>
      </c>
      <c r="N564" s="11">
        <v>9126.147</v>
      </c>
      <c r="O564" s="11">
        <v>-32427.225</v>
      </c>
      <c r="P564" s="11">
        <v>-42.982</v>
      </c>
      <c r="Q564" s="11">
        <v>1435.3</v>
      </c>
      <c r="R564" s="11">
        <v>-20.08</v>
      </c>
      <c r="S564" s="12">
        <v>0.89</v>
      </c>
      <c r="T564" s="14">
        <f t="shared" si="7"/>
        <v>1416.22</v>
      </c>
      <c r="U564" s="14">
        <f t="shared" si="2"/>
        <v>4.96</v>
      </c>
      <c r="V564" s="14">
        <f t="shared" si="3"/>
        <v>0.513186014</v>
      </c>
      <c r="W564" s="15" t="str">
        <f t="shared" si="4"/>
        <v/>
      </c>
      <c r="X564" s="11">
        <f t="shared" si="5"/>
        <v>1416.628</v>
      </c>
      <c r="Y564" s="14">
        <f t="shared" si="6"/>
        <v>-0.408</v>
      </c>
      <c r="Z564" s="25"/>
      <c r="AA564" s="21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</row>
    <row r="565">
      <c r="A565" s="21"/>
      <c r="B565" s="21"/>
      <c r="C565" s="21"/>
      <c r="D565" s="21"/>
      <c r="E565" s="21"/>
      <c r="F565" s="21" t="s">
        <v>33</v>
      </c>
      <c r="G565" s="21">
        <v>4109.0</v>
      </c>
      <c r="H565" s="26">
        <v>39.005312</v>
      </c>
      <c r="I565" s="26">
        <v>-112.779318</v>
      </c>
      <c r="J565" s="21">
        <v>1405.53</v>
      </c>
      <c r="K565" s="11">
        <v>11212.334</v>
      </c>
      <c r="L565" s="11">
        <v>-32372.609</v>
      </c>
      <c r="M565" s="11">
        <v>-56.715</v>
      </c>
      <c r="N565" s="11">
        <v>11212.325</v>
      </c>
      <c r="O565" s="11">
        <v>-32372.583</v>
      </c>
      <c r="P565" s="11">
        <v>-61.755</v>
      </c>
      <c r="Q565" s="11">
        <v>1419.59</v>
      </c>
      <c r="R565" s="11">
        <v>-20.1</v>
      </c>
      <c r="S565" s="12">
        <v>0.89</v>
      </c>
      <c r="T565" s="14">
        <f t="shared" si="7"/>
        <v>1400.49</v>
      </c>
      <c r="U565" s="14">
        <f t="shared" si="2"/>
        <v>5.04</v>
      </c>
      <c r="V565" s="14">
        <f t="shared" si="3"/>
        <v>0.6138107226</v>
      </c>
      <c r="W565" s="15" t="str">
        <f t="shared" si="4"/>
        <v/>
      </c>
      <c r="X565" s="11">
        <f t="shared" si="5"/>
        <v>1400.978</v>
      </c>
      <c r="Y565" s="14">
        <f t="shared" si="6"/>
        <v>-0.488</v>
      </c>
      <c r="Z565" s="25"/>
      <c r="AA565" s="21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</row>
    <row r="566">
      <c r="A566" s="21"/>
      <c r="B566" s="21"/>
      <c r="C566" s="21"/>
      <c r="D566" s="21"/>
      <c r="E566" s="21"/>
      <c r="F566" s="21" t="s">
        <v>33</v>
      </c>
      <c r="G566" s="21">
        <v>4110.0</v>
      </c>
      <c r="H566" s="26">
        <v>39.00583</v>
      </c>
      <c r="I566" s="26">
        <v>-112.755801</v>
      </c>
      <c r="J566" s="21">
        <v>1405.42</v>
      </c>
      <c r="K566" s="11">
        <v>13249.72</v>
      </c>
      <c r="L566" s="11">
        <v>-32311.911</v>
      </c>
      <c r="M566" s="11">
        <v>-60.418</v>
      </c>
      <c r="N566" s="11">
        <v>13249.705</v>
      </c>
      <c r="O566" s="11">
        <v>-32311.874</v>
      </c>
      <c r="P566" s="11">
        <v>-67.558</v>
      </c>
      <c r="Q566" s="11">
        <v>1417.39</v>
      </c>
      <c r="R566" s="11">
        <v>-20.11</v>
      </c>
      <c r="S566" s="12">
        <v>0.89</v>
      </c>
      <c r="T566" s="14">
        <f t="shared" si="7"/>
        <v>1398.28</v>
      </c>
      <c r="U566" s="14">
        <f t="shared" si="2"/>
        <v>7.14</v>
      </c>
      <c r="V566" s="14">
        <f t="shared" si="3"/>
        <v>3.255209324</v>
      </c>
      <c r="W566" s="15" t="str">
        <f t="shared" si="4"/>
        <v>✔</v>
      </c>
      <c r="X566" s="11">
        <f t="shared" si="5"/>
        <v>1400.868</v>
      </c>
      <c r="Y566" s="14">
        <f t="shared" si="6"/>
        <v>-2.588</v>
      </c>
      <c r="Z566" s="25"/>
      <c r="AA566" s="21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</row>
    <row r="567">
      <c r="A567" s="21"/>
      <c r="B567" s="21"/>
      <c r="C567" s="21"/>
      <c r="D567" s="21"/>
      <c r="E567" s="21"/>
      <c r="F567" s="21" t="s">
        <v>33</v>
      </c>
      <c r="G567" s="21">
        <v>4111.0</v>
      </c>
      <c r="H567" s="26">
        <v>39.005999</v>
      </c>
      <c r="I567" s="26">
        <v>-112.731283</v>
      </c>
      <c r="J567" s="21">
        <v>1401.72</v>
      </c>
      <c r="K567" s="11">
        <v>15373.865</v>
      </c>
      <c r="L567" s="11">
        <v>-32289.248</v>
      </c>
      <c r="M567" s="11">
        <v>-68.762</v>
      </c>
      <c r="N567" s="11">
        <v>15373.855</v>
      </c>
      <c r="O567" s="11">
        <v>-32289.227</v>
      </c>
      <c r="P567" s="11">
        <v>-72.902</v>
      </c>
      <c r="Q567" s="11">
        <v>1416.69</v>
      </c>
      <c r="R567" s="11">
        <v>-20.11</v>
      </c>
      <c r="S567" s="12">
        <v>0.89</v>
      </c>
      <c r="T567" s="14">
        <f t="shared" si="7"/>
        <v>1397.58</v>
      </c>
      <c r="U567" s="14">
        <f t="shared" si="2"/>
        <v>4.14</v>
      </c>
      <c r="V567" s="14">
        <f t="shared" si="3"/>
        <v>-0.5182172494</v>
      </c>
      <c r="W567" s="15" t="str">
        <f t="shared" si="4"/>
        <v/>
      </c>
      <c r="X567" s="11">
        <f t="shared" si="5"/>
        <v>1397.168</v>
      </c>
      <c r="Y567" s="14">
        <f t="shared" si="6"/>
        <v>0.412</v>
      </c>
      <c r="Z567" s="25"/>
      <c r="AA567" s="21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</row>
    <row r="568" ht="3.75" customHeight="1">
      <c r="A568" s="21"/>
      <c r="B568" s="21"/>
      <c r="C568" s="21"/>
      <c r="D568" s="21"/>
      <c r="E568" s="21"/>
      <c r="F568" s="21" t="s">
        <v>33</v>
      </c>
      <c r="G568" s="21">
        <v>4112.0</v>
      </c>
      <c r="H568" s="26">
        <v>39.006367</v>
      </c>
      <c r="I568" s="26">
        <v>-112.707318</v>
      </c>
      <c r="J568" s="21">
        <v>1401.22</v>
      </c>
      <c r="K568" s="11">
        <v>17450.044</v>
      </c>
      <c r="L568" s="11">
        <v>-32244.035</v>
      </c>
      <c r="M568" s="11">
        <v>-74.367</v>
      </c>
      <c r="N568" s="11">
        <v>17450.03</v>
      </c>
      <c r="O568" s="11">
        <v>-32244.01</v>
      </c>
      <c r="P568" s="11">
        <v>-79.386</v>
      </c>
      <c r="Q568" s="11">
        <v>1415.3</v>
      </c>
      <c r="R568" s="11">
        <v>-20.1</v>
      </c>
      <c r="S568" s="12">
        <v>0.89</v>
      </c>
      <c r="T568" s="14">
        <f t="shared" si="7"/>
        <v>1396.2</v>
      </c>
      <c r="U568" s="14">
        <f t="shared" si="2"/>
        <v>5.02</v>
      </c>
      <c r="V568" s="14">
        <f t="shared" si="3"/>
        <v>0.5886545455</v>
      </c>
      <c r="W568" s="15" t="str">
        <f t="shared" si="4"/>
        <v/>
      </c>
      <c r="X568" s="11">
        <f t="shared" si="5"/>
        <v>1396.668</v>
      </c>
      <c r="Y568" s="14">
        <f t="shared" si="6"/>
        <v>-0.468</v>
      </c>
      <c r="Z568" s="25"/>
      <c r="AA568" s="21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</row>
    <row r="569">
      <c r="A569" s="21"/>
      <c r="B569" s="21"/>
      <c r="C569" s="21"/>
      <c r="D569" s="21"/>
      <c r="E569" s="21"/>
      <c r="F569" s="21" t="s">
        <v>33</v>
      </c>
      <c r="G569" s="21">
        <v>4114.0</v>
      </c>
      <c r="H569" s="26">
        <v>39.006956</v>
      </c>
      <c r="I569" s="26">
        <v>-112.659246</v>
      </c>
      <c r="J569" s="21">
        <v>1402.93</v>
      </c>
      <c r="K569" s="11">
        <v>21614.683</v>
      </c>
      <c r="L569" s="11">
        <v>-32168.263</v>
      </c>
      <c r="M569" s="11">
        <v>-85.007</v>
      </c>
      <c r="N569" s="11">
        <v>21614.666</v>
      </c>
      <c r="O569" s="11">
        <v>-32168.238</v>
      </c>
      <c r="P569" s="11">
        <v>-89.917</v>
      </c>
      <c r="Q569" s="11">
        <v>1417.07</v>
      </c>
      <c r="R569" s="11">
        <v>-20.05</v>
      </c>
      <c r="S569" s="12">
        <v>0.89</v>
      </c>
      <c r="T569" s="14">
        <f t="shared" si="7"/>
        <v>1398.02</v>
      </c>
      <c r="U569" s="14">
        <f t="shared" si="2"/>
        <v>4.91</v>
      </c>
      <c r="V569" s="14">
        <f t="shared" si="3"/>
        <v>0.4502955711</v>
      </c>
      <c r="W569" s="15" t="str">
        <f t="shared" si="4"/>
        <v/>
      </c>
      <c r="X569" s="11">
        <f t="shared" si="5"/>
        <v>1398.378</v>
      </c>
      <c r="Y569" s="14">
        <f t="shared" si="6"/>
        <v>-0.358</v>
      </c>
      <c r="Z569" s="25"/>
      <c r="AA569" s="21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</row>
    <row r="570">
      <c r="A570" s="21"/>
      <c r="B570" s="21"/>
      <c r="C570" s="21"/>
      <c r="D570" s="21"/>
      <c r="E570" s="21"/>
      <c r="F570" s="21" t="s">
        <v>33</v>
      </c>
      <c r="G570" s="21">
        <v>4115.0</v>
      </c>
      <c r="H570" s="26">
        <v>39.007464</v>
      </c>
      <c r="I570" s="26">
        <v>-112.635191</v>
      </c>
      <c r="J570" s="21">
        <v>1398.39</v>
      </c>
      <c r="K570" s="11">
        <v>23698.526</v>
      </c>
      <c r="L570" s="11">
        <v>-32105.808</v>
      </c>
      <c r="M570" s="11">
        <v>-96.623</v>
      </c>
      <c r="N570" s="11">
        <v>23698.514</v>
      </c>
      <c r="O570" s="11">
        <v>-32105.792</v>
      </c>
      <c r="P570" s="11">
        <v>-99.973</v>
      </c>
      <c r="Q570" s="11">
        <v>1414.05</v>
      </c>
      <c r="R570" s="11">
        <v>-20.01</v>
      </c>
      <c r="S570" s="12">
        <v>0.89</v>
      </c>
      <c r="T570" s="14">
        <f t="shared" si="7"/>
        <v>1395.04</v>
      </c>
      <c r="U570" s="14">
        <f t="shared" si="2"/>
        <v>3.35</v>
      </c>
      <c r="V570" s="14">
        <f t="shared" si="3"/>
        <v>-1.511886247</v>
      </c>
      <c r="W570" s="15" t="str">
        <f t="shared" si="4"/>
        <v/>
      </c>
      <c r="X570" s="11">
        <f t="shared" si="5"/>
        <v>1393.838</v>
      </c>
      <c r="Y570" s="14">
        <f t="shared" si="6"/>
        <v>1.202</v>
      </c>
      <c r="Z570" s="25"/>
      <c r="AA570" s="21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</row>
    <row r="571">
      <c r="A571" s="21"/>
      <c r="B571" s="21"/>
      <c r="C571" s="21"/>
      <c r="D571" s="21"/>
      <c r="E571" s="21"/>
      <c r="F571" s="21" t="s">
        <v>33</v>
      </c>
      <c r="G571" s="21">
        <v>4116.0</v>
      </c>
      <c r="H571" s="26">
        <v>39.007725</v>
      </c>
      <c r="I571" s="26">
        <v>-112.611378</v>
      </c>
      <c r="J571" s="21">
        <v>1408.09</v>
      </c>
      <c r="K571" s="11">
        <v>25761.515</v>
      </c>
      <c r="L571" s="11">
        <v>-32070.367</v>
      </c>
      <c r="M571" s="11">
        <v>-94.73</v>
      </c>
      <c r="N571" s="11">
        <v>25761.493</v>
      </c>
      <c r="O571" s="11">
        <v>-32070.34</v>
      </c>
      <c r="P571" s="11">
        <v>-100.11</v>
      </c>
      <c r="Q571" s="11">
        <v>1421.67</v>
      </c>
      <c r="R571" s="11">
        <v>-19.96</v>
      </c>
      <c r="S571" s="12">
        <v>0.89</v>
      </c>
      <c r="T571" s="14">
        <f t="shared" si="7"/>
        <v>1402.71</v>
      </c>
      <c r="U571" s="14">
        <f t="shared" si="2"/>
        <v>5.38</v>
      </c>
      <c r="V571" s="14">
        <f t="shared" si="3"/>
        <v>1.041465734</v>
      </c>
      <c r="W571" s="15" t="str">
        <f t="shared" si="4"/>
        <v/>
      </c>
      <c r="X571" s="11">
        <f t="shared" si="5"/>
        <v>1403.538</v>
      </c>
      <c r="Y571" s="14">
        <f t="shared" si="6"/>
        <v>-0.828</v>
      </c>
      <c r="Z571" s="25"/>
      <c r="AA571" s="21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</row>
    <row r="572">
      <c r="A572" s="21"/>
      <c r="B572" s="21"/>
      <c r="C572" s="21"/>
      <c r="D572" s="21"/>
      <c r="E572" s="21"/>
      <c r="F572" s="21" t="s">
        <v>33</v>
      </c>
      <c r="G572" s="21">
        <v>4117.0</v>
      </c>
      <c r="H572" s="26">
        <v>39.008232</v>
      </c>
      <c r="I572" s="26">
        <v>-112.587731</v>
      </c>
      <c r="J572" s="21">
        <v>1414.15</v>
      </c>
      <c r="K572" s="11">
        <v>27809.996</v>
      </c>
      <c r="L572" s="11">
        <v>-32007.099</v>
      </c>
      <c r="M572" s="11">
        <v>-96.941</v>
      </c>
      <c r="N572" s="11">
        <v>27809.972</v>
      </c>
      <c r="O572" s="11">
        <v>-32007.072</v>
      </c>
      <c r="P572" s="11">
        <v>-102.391</v>
      </c>
      <c r="Q572" s="11">
        <v>1427.6</v>
      </c>
      <c r="R572" s="11">
        <v>-19.9</v>
      </c>
      <c r="S572" s="12">
        <v>0.89</v>
      </c>
      <c r="T572" s="14">
        <f t="shared" si="7"/>
        <v>1408.7</v>
      </c>
      <c r="U572" s="14">
        <f t="shared" si="2"/>
        <v>5.45</v>
      </c>
      <c r="V572" s="14">
        <f t="shared" si="3"/>
        <v>1.129512354</v>
      </c>
      <c r="W572" s="15" t="str">
        <f t="shared" si="4"/>
        <v/>
      </c>
      <c r="X572" s="11">
        <f t="shared" si="5"/>
        <v>1409.598</v>
      </c>
      <c r="Y572" s="14">
        <f t="shared" si="6"/>
        <v>-0.898</v>
      </c>
      <c r="Z572" s="25"/>
      <c r="AA572" s="21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</row>
    <row r="573">
      <c r="A573" s="21"/>
      <c r="B573" s="21"/>
      <c r="C573" s="21"/>
      <c r="D573" s="21"/>
      <c r="E573" s="21"/>
      <c r="F573" s="21" t="s">
        <v>33</v>
      </c>
      <c r="G573" s="21">
        <v>4118.0</v>
      </c>
      <c r="H573" s="26">
        <v>39.008165</v>
      </c>
      <c r="I573" s="26">
        <v>-112.563704</v>
      </c>
      <c r="J573" s="21">
        <v>1409.06</v>
      </c>
      <c r="K573" s="11">
        <v>29891.558</v>
      </c>
      <c r="L573" s="11">
        <v>-32006.851</v>
      </c>
      <c r="M573" s="11">
        <v>-111.432</v>
      </c>
      <c r="N573" s="11">
        <v>29891.528</v>
      </c>
      <c r="O573" s="11">
        <v>-32006.819</v>
      </c>
      <c r="P573" s="11">
        <v>-117.742</v>
      </c>
      <c r="Q573" s="11">
        <v>1421.57</v>
      </c>
      <c r="R573" s="11">
        <v>-19.82</v>
      </c>
      <c r="S573" s="12">
        <v>0.89</v>
      </c>
      <c r="T573" s="14">
        <f t="shared" si="7"/>
        <v>1402.75</v>
      </c>
      <c r="U573" s="14">
        <f t="shared" si="2"/>
        <v>6.31</v>
      </c>
      <c r="V573" s="14">
        <f t="shared" si="3"/>
        <v>2.211227972</v>
      </c>
      <c r="W573" s="15" t="str">
        <f t="shared" si="4"/>
        <v/>
      </c>
      <c r="X573" s="11">
        <f t="shared" si="5"/>
        <v>1404.508</v>
      </c>
      <c r="Y573" s="14">
        <f t="shared" si="6"/>
        <v>-1.758</v>
      </c>
      <c r="Z573" s="25"/>
      <c r="AA573" s="21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</row>
    <row r="574">
      <c r="A574" s="21"/>
      <c r="B574" s="21"/>
      <c r="C574" s="21"/>
      <c r="D574" s="21"/>
      <c r="E574" s="21"/>
      <c r="F574" s="21" t="s">
        <v>33</v>
      </c>
      <c r="G574" s="21">
        <v>4207.0</v>
      </c>
      <c r="H574" s="26">
        <v>39.313858</v>
      </c>
      <c r="I574" s="26">
        <v>-112.912047</v>
      </c>
      <c r="J574" s="21">
        <v>1377.1</v>
      </c>
      <c r="K574" s="11">
        <v>-285.91</v>
      </c>
      <c r="L574" s="11">
        <v>1881.121</v>
      </c>
      <c r="M574" s="11">
        <v>6.77</v>
      </c>
      <c r="N574" s="11">
        <v>-285.91</v>
      </c>
      <c r="O574" s="11">
        <v>1881.119</v>
      </c>
      <c r="P574" s="11">
        <v>2.57</v>
      </c>
      <c r="Q574" s="11">
        <v>1391.8</v>
      </c>
      <c r="R574" s="11">
        <v>-19.9</v>
      </c>
      <c r="S574" s="12">
        <v>0.89</v>
      </c>
      <c r="T574" s="14">
        <f t="shared" si="7"/>
        <v>1372.9</v>
      </c>
      <c r="U574" s="14">
        <f t="shared" si="2"/>
        <v>4.2</v>
      </c>
      <c r="V574" s="14">
        <f t="shared" si="3"/>
        <v>-0.4427487179</v>
      </c>
      <c r="W574" s="15" t="str">
        <f t="shared" si="4"/>
        <v/>
      </c>
      <c r="X574" s="11">
        <f t="shared" si="5"/>
        <v>1372.548</v>
      </c>
      <c r="Y574" s="14">
        <f t="shared" si="6"/>
        <v>0.352</v>
      </c>
      <c r="Z574" s="25"/>
      <c r="AA574" s="21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</row>
    <row r="575">
      <c r="A575" s="21"/>
      <c r="B575" s="21"/>
      <c r="C575" s="21"/>
      <c r="D575" s="21"/>
      <c r="E575" s="21"/>
      <c r="F575" s="21" t="s">
        <v>33</v>
      </c>
      <c r="G575" s="21">
        <v>4208.0</v>
      </c>
      <c r="H575" s="26">
        <v>39.023619</v>
      </c>
      <c r="I575" s="26">
        <v>-112.803802</v>
      </c>
      <c r="J575" s="21">
        <v>1418.43</v>
      </c>
      <c r="K575" s="11">
        <v>9088.744</v>
      </c>
      <c r="L575" s="11">
        <v>-30342.629</v>
      </c>
      <c r="M575" s="11">
        <v>-30.435</v>
      </c>
      <c r="N575" s="11">
        <v>9088.736</v>
      </c>
      <c r="O575" s="11">
        <v>-30342.603</v>
      </c>
      <c r="P575" s="11">
        <v>-35.815</v>
      </c>
      <c r="Q575" s="11">
        <v>1432.11</v>
      </c>
      <c r="R575" s="11">
        <v>-20.06</v>
      </c>
      <c r="S575" s="12">
        <v>0.89</v>
      </c>
      <c r="T575" s="14">
        <f t="shared" si="7"/>
        <v>1413.05</v>
      </c>
      <c r="U575" s="14">
        <f t="shared" si="2"/>
        <v>5.38</v>
      </c>
      <c r="V575" s="14">
        <f t="shared" si="3"/>
        <v>1.041465734</v>
      </c>
      <c r="W575" s="15" t="str">
        <f t="shared" si="4"/>
        <v/>
      </c>
      <c r="X575" s="11">
        <f t="shared" si="5"/>
        <v>1413.878</v>
      </c>
      <c r="Y575" s="14">
        <f t="shared" si="6"/>
        <v>-0.828</v>
      </c>
      <c r="Z575" s="25"/>
      <c r="AA575" s="21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</row>
    <row r="576">
      <c r="A576" s="21"/>
      <c r="B576" s="21"/>
      <c r="C576" s="21"/>
      <c r="D576" s="21"/>
      <c r="E576" s="21"/>
      <c r="F576" s="21" t="s">
        <v>33</v>
      </c>
      <c r="G576" s="21">
        <v>4209.0</v>
      </c>
      <c r="H576" s="26">
        <v>39.024026</v>
      </c>
      <c r="I576" s="26">
        <v>-112.779763</v>
      </c>
      <c r="J576" s="21">
        <v>1401.26</v>
      </c>
      <c r="K576" s="11">
        <v>11170.828</v>
      </c>
      <c r="L576" s="11">
        <v>-30294.663</v>
      </c>
      <c r="M576" s="11">
        <v>-50.679</v>
      </c>
      <c r="N576" s="11">
        <v>11170.821</v>
      </c>
      <c r="O576" s="11">
        <v>-30294.646</v>
      </c>
      <c r="P576" s="11">
        <v>-54.179</v>
      </c>
      <c r="Q576" s="11">
        <v>1416.84</v>
      </c>
      <c r="R576" s="11">
        <v>-20.08</v>
      </c>
      <c r="S576" s="12">
        <v>0.89</v>
      </c>
      <c r="T576" s="14">
        <f t="shared" si="7"/>
        <v>1397.76</v>
      </c>
      <c r="U576" s="14">
        <f t="shared" si="2"/>
        <v>3.5</v>
      </c>
      <c r="V576" s="14">
        <f t="shared" si="3"/>
        <v>-1.323214918</v>
      </c>
      <c r="W576" s="15" t="str">
        <f t="shared" si="4"/>
        <v/>
      </c>
      <c r="X576" s="11">
        <f t="shared" si="5"/>
        <v>1396.708</v>
      </c>
      <c r="Y576" s="14">
        <f t="shared" si="6"/>
        <v>1.052</v>
      </c>
      <c r="Z576" s="25"/>
      <c r="AA576" s="21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</row>
    <row r="577">
      <c r="A577" s="21"/>
      <c r="B577" s="21"/>
      <c r="C577" s="21"/>
      <c r="D577" s="21"/>
      <c r="E577" s="21"/>
      <c r="F577" s="21" t="s">
        <v>33</v>
      </c>
      <c r="G577" s="21">
        <v>4210.0</v>
      </c>
      <c r="H577" s="26">
        <v>39.024408</v>
      </c>
      <c r="I577" s="26">
        <v>-112.755782</v>
      </c>
      <c r="J577" s="21">
        <v>1396.56</v>
      </c>
      <c r="K577" s="11">
        <v>13247.881</v>
      </c>
      <c r="L577" s="11">
        <v>-30248.987</v>
      </c>
      <c r="M577" s="11">
        <v>-59.131</v>
      </c>
      <c r="N577" s="11">
        <v>13247.87</v>
      </c>
      <c r="O577" s="11">
        <v>-30248.962</v>
      </c>
      <c r="P577" s="11">
        <v>-64.291</v>
      </c>
      <c r="Q577" s="11">
        <v>1410.49</v>
      </c>
      <c r="R577" s="11">
        <v>-20.09</v>
      </c>
      <c r="S577" s="12">
        <v>0.89</v>
      </c>
      <c r="T577" s="14">
        <f t="shared" si="7"/>
        <v>1391.4</v>
      </c>
      <c r="U577" s="14">
        <f t="shared" si="2"/>
        <v>5.16</v>
      </c>
      <c r="V577" s="14">
        <f t="shared" si="3"/>
        <v>0.7647477855</v>
      </c>
      <c r="W577" s="15" t="str">
        <f t="shared" si="4"/>
        <v/>
      </c>
      <c r="X577" s="11">
        <f t="shared" si="5"/>
        <v>1392.008</v>
      </c>
      <c r="Y577" s="14">
        <f t="shared" si="6"/>
        <v>-0.608</v>
      </c>
      <c r="Z577" s="25"/>
      <c r="AA577" s="21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</row>
    <row r="578">
      <c r="A578" s="21"/>
      <c r="B578" s="21"/>
      <c r="C578" s="21"/>
      <c r="D578" s="21"/>
      <c r="E578" s="21"/>
      <c r="F578" s="21" t="s">
        <v>33</v>
      </c>
      <c r="G578" s="21">
        <v>4212.0</v>
      </c>
      <c r="H578" s="26">
        <v>39.025122</v>
      </c>
      <c r="I578" s="26">
        <v>-112.707757</v>
      </c>
      <c r="J578" s="21">
        <v>1398.63</v>
      </c>
      <c r="K578" s="11">
        <v>17407.404</v>
      </c>
      <c r="L578" s="11">
        <v>-30161.578</v>
      </c>
      <c r="M578" s="11">
        <v>-66.627</v>
      </c>
      <c r="N578" s="11">
        <v>17407.392</v>
      </c>
      <c r="O578" s="11">
        <v>-30161.557</v>
      </c>
      <c r="P578" s="11">
        <v>-71.047</v>
      </c>
      <c r="Q578" s="11">
        <v>1413.3</v>
      </c>
      <c r="R578" s="11">
        <v>-20.09</v>
      </c>
      <c r="S578" s="12">
        <v>0.89</v>
      </c>
      <c r="T578" s="14">
        <f t="shared" si="7"/>
        <v>1394.21</v>
      </c>
      <c r="U578" s="14">
        <f t="shared" si="2"/>
        <v>4.42</v>
      </c>
      <c r="V578" s="14">
        <f t="shared" si="3"/>
        <v>-0.1660307692</v>
      </c>
      <c r="W578" s="15" t="str">
        <f t="shared" si="4"/>
        <v/>
      </c>
      <c r="X578" s="11">
        <f t="shared" si="5"/>
        <v>1394.078</v>
      </c>
      <c r="Y578" s="14">
        <f t="shared" si="6"/>
        <v>0.132</v>
      </c>
      <c r="Z578" s="25"/>
      <c r="AA578" s="21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</row>
    <row r="579">
      <c r="A579" s="21"/>
      <c r="B579" s="21"/>
      <c r="C579" s="21"/>
      <c r="D579" s="21"/>
      <c r="E579" s="21"/>
      <c r="F579" s="21" t="s">
        <v>33</v>
      </c>
      <c r="G579" s="21">
        <v>4211.0</v>
      </c>
      <c r="H579" s="26">
        <v>39.024719</v>
      </c>
      <c r="I579" s="26">
        <v>-112.731824</v>
      </c>
      <c r="J579" s="21">
        <v>1398.01</v>
      </c>
      <c r="K579" s="11">
        <v>15322.944</v>
      </c>
      <c r="L579" s="11">
        <v>-30210.678</v>
      </c>
      <c r="M579" s="11">
        <v>-62.14</v>
      </c>
      <c r="N579" s="11">
        <v>15322.933</v>
      </c>
      <c r="O579" s="11">
        <v>-30210.655</v>
      </c>
      <c r="P579" s="11">
        <v>-66.94</v>
      </c>
      <c r="Q579" s="11">
        <v>1412.31</v>
      </c>
      <c r="R579" s="11">
        <v>-20.1</v>
      </c>
      <c r="S579" s="12">
        <v>0.89</v>
      </c>
      <c r="T579" s="14">
        <f t="shared" si="7"/>
        <v>1393.21</v>
      </c>
      <c r="U579" s="14">
        <f t="shared" si="2"/>
        <v>4.8</v>
      </c>
      <c r="V579" s="14">
        <f t="shared" si="3"/>
        <v>0.3119365967</v>
      </c>
      <c r="W579" s="15" t="str">
        <f t="shared" si="4"/>
        <v/>
      </c>
      <c r="X579" s="11">
        <f t="shared" si="5"/>
        <v>1393.458</v>
      </c>
      <c r="Y579" s="14">
        <f t="shared" si="6"/>
        <v>-0.248</v>
      </c>
      <c r="Z579" s="25"/>
      <c r="AA579" s="21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</row>
    <row r="580">
      <c r="A580" s="21"/>
      <c r="B580" s="21"/>
      <c r="C580" s="21"/>
      <c r="D580" s="21"/>
      <c r="E580" s="21"/>
      <c r="F580" s="21" t="s">
        <v>33</v>
      </c>
      <c r="G580" s="21">
        <v>4213.0</v>
      </c>
      <c r="H580" s="26">
        <v>39.025476</v>
      </c>
      <c r="I580" s="26">
        <v>-112.683772</v>
      </c>
      <c r="J580" s="21">
        <v>1397.74</v>
      </c>
      <c r="K580" s="11">
        <v>19484.744</v>
      </c>
      <c r="L580" s="11">
        <v>-30117.376</v>
      </c>
      <c r="M580" s="11">
        <v>-73.306</v>
      </c>
      <c r="N580" s="11">
        <v>19484.73</v>
      </c>
      <c r="O580" s="11">
        <v>-30117.354</v>
      </c>
      <c r="P580" s="11">
        <v>-77.836</v>
      </c>
      <c r="Q580" s="11">
        <v>1412.28</v>
      </c>
      <c r="R580" s="11">
        <v>-20.07</v>
      </c>
      <c r="S580" s="12">
        <v>0.89</v>
      </c>
      <c r="T580" s="14">
        <f t="shared" si="7"/>
        <v>1393.21</v>
      </c>
      <c r="U580" s="14">
        <f t="shared" si="2"/>
        <v>4.53</v>
      </c>
      <c r="V580" s="14">
        <f t="shared" si="3"/>
        <v>-0.02767179487</v>
      </c>
      <c r="W580" s="15" t="str">
        <f t="shared" si="4"/>
        <v/>
      </c>
      <c r="X580" s="11">
        <f t="shared" si="5"/>
        <v>1393.188</v>
      </c>
      <c r="Y580" s="14">
        <f t="shared" si="6"/>
        <v>0.022</v>
      </c>
      <c r="Z580" s="25"/>
      <c r="AA580" s="21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</row>
    <row r="581">
      <c r="A581" s="21"/>
      <c r="B581" s="21"/>
      <c r="C581" s="21"/>
      <c r="D581" s="21"/>
      <c r="E581" s="21"/>
      <c r="F581" s="21" t="s">
        <v>33</v>
      </c>
      <c r="G581" s="21">
        <v>4214.0</v>
      </c>
      <c r="H581" s="26">
        <v>39.022703</v>
      </c>
      <c r="I581" s="26">
        <v>-112.659803</v>
      </c>
      <c r="J581" s="21">
        <v>1394.74</v>
      </c>
      <c r="K581" s="11">
        <v>21561.616</v>
      </c>
      <c r="L581" s="11">
        <v>-30419.834</v>
      </c>
      <c r="M581" s="11">
        <v>-84.418</v>
      </c>
      <c r="N581" s="11">
        <v>21561.601</v>
      </c>
      <c r="O581" s="11">
        <v>-30419.812</v>
      </c>
      <c r="P581" s="11">
        <v>-89.088</v>
      </c>
      <c r="Q581" s="11">
        <v>1409.11</v>
      </c>
      <c r="R581" s="11">
        <v>-20.04</v>
      </c>
      <c r="S581" s="12">
        <v>0.89</v>
      </c>
      <c r="T581" s="14">
        <f t="shared" si="7"/>
        <v>1390.07</v>
      </c>
      <c r="U581" s="14">
        <f t="shared" si="2"/>
        <v>4.67</v>
      </c>
      <c r="V581" s="14">
        <f t="shared" si="3"/>
        <v>0.1484214452</v>
      </c>
      <c r="W581" s="15" t="str">
        <f t="shared" si="4"/>
        <v/>
      </c>
      <c r="X581" s="11">
        <f t="shared" si="5"/>
        <v>1390.188</v>
      </c>
      <c r="Y581" s="14">
        <f t="shared" si="6"/>
        <v>-0.118</v>
      </c>
      <c r="Z581" s="25"/>
      <c r="AA581" s="21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</row>
    <row r="582">
      <c r="A582" s="21"/>
      <c r="B582" s="21"/>
      <c r="C582" s="21"/>
      <c r="D582" s="21"/>
      <c r="E582" s="21"/>
      <c r="F582" s="21" t="s">
        <v>33</v>
      </c>
      <c r="G582" s="21">
        <v>4215.0</v>
      </c>
      <c r="H582" s="26">
        <v>39.026183</v>
      </c>
      <c r="I582" s="26">
        <v>-112.635688</v>
      </c>
      <c r="J582" s="21">
        <v>1395.08</v>
      </c>
      <c r="K582" s="11">
        <v>23649.22</v>
      </c>
      <c r="L582" s="11">
        <v>-30027.396</v>
      </c>
      <c r="M582" s="11">
        <v>-89.601</v>
      </c>
      <c r="N582" s="11">
        <v>23649.203</v>
      </c>
      <c r="O582" s="11">
        <v>-30027.373</v>
      </c>
      <c r="P582" s="11">
        <v>-94.421</v>
      </c>
      <c r="Q582" s="11">
        <v>1409.27</v>
      </c>
      <c r="R582" s="11">
        <v>-20.01</v>
      </c>
      <c r="S582" s="12">
        <v>0.89</v>
      </c>
      <c r="T582" s="14">
        <f t="shared" si="7"/>
        <v>1390.26</v>
      </c>
      <c r="U582" s="14">
        <f t="shared" si="2"/>
        <v>4.82</v>
      </c>
      <c r="V582" s="14">
        <f t="shared" si="3"/>
        <v>0.3370927739</v>
      </c>
      <c r="W582" s="15" t="str">
        <f t="shared" si="4"/>
        <v/>
      </c>
      <c r="X582" s="11">
        <f t="shared" si="5"/>
        <v>1390.528</v>
      </c>
      <c r="Y582" s="14">
        <f t="shared" si="6"/>
        <v>-0.268</v>
      </c>
      <c r="Z582" s="25"/>
      <c r="AA582" s="21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</row>
    <row r="583">
      <c r="A583" s="21"/>
      <c r="B583" s="21"/>
      <c r="C583" s="21"/>
      <c r="D583" s="21"/>
      <c r="E583" s="21"/>
      <c r="F583" s="21" t="s">
        <v>33</v>
      </c>
      <c r="G583" s="21">
        <v>4216.0</v>
      </c>
      <c r="H583" s="26">
        <v>39.026467</v>
      </c>
      <c r="I583" s="26">
        <v>-112.611635</v>
      </c>
      <c r="J583" s="21">
        <v>1401.56</v>
      </c>
      <c r="K583" s="11">
        <v>25732.43</v>
      </c>
      <c r="L583" s="11">
        <v>-29989.326</v>
      </c>
      <c r="M583" s="11">
        <v>-90.994</v>
      </c>
      <c r="N583" s="11">
        <v>25732.409</v>
      </c>
      <c r="O583" s="11">
        <v>-29989.302</v>
      </c>
      <c r="P583" s="11">
        <v>-96.113</v>
      </c>
      <c r="Q583" s="11">
        <v>1415.4</v>
      </c>
      <c r="R583" s="11">
        <v>-19.96</v>
      </c>
      <c r="S583" s="12">
        <v>0.89</v>
      </c>
      <c r="T583" s="14">
        <f t="shared" si="7"/>
        <v>1396.44</v>
      </c>
      <c r="U583" s="14">
        <f t="shared" si="2"/>
        <v>5.12</v>
      </c>
      <c r="V583" s="14">
        <f t="shared" si="3"/>
        <v>0.7144354312</v>
      </c>
      <c r="W583" s="15" t="str">
        <f t="shared" si="4"/>
        <v/>
      </c>
      <c r="X583" s="11">
        <f t="shared" si="5"/>
        <v>1397.008</v>
      </c>
      <c r="Y583" s="14">
        <f t="shared" si="6"/>
        <v>-0.568</v>
      </c>
      <c r="Z583" s="25"/>
      <c r="AA583" s="21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</row>
    <row r="584">
      <c r="A584" s="21"/>
      <c r="B584" s="21"/>
      <c r="C584" s="21"/>
      <c r="D584" s="21"/>
      <c r="E584" s="21"/>
      <c r="F584" s="21" t="s">
        <v>33</v>
      </c>
      <c r="G584" s="21">
        <v>4217.0</v>
      </c>
      <c r="H584" s="26">
        <v>39.02685</v>
      </c>
      <c r="I584" s="26">
        <v>-112.587654</v>
      </c>
      <c r="J584" s="21">
        <v>1408.68</v>
      </c>
      <c r="K584" s="11">
        <v>27809.35</v>
      </c>
      <c r="L584" s="11">
        <v>-29939.736</v>
      </c>
      <c r="M584" s="11">
        <v>-92.344</v>
      </c>
      <c r="N584" s="11">
        <v>27809.334</v>
      </c>
      <c r="O584" s="11">
        <v>-29939.719</v>
      </c>
      <c r="P584" s="11">
        <v>-95.964</v>
      </c>
      <c r="Q584" s="11">
        <v>1423.95</v>
      </c>
      <c r="R584" s="11">
        <v>-19.89</v>
      </c>
      <c r="S584" s="12">
        <v>0.89</v>
      </c>
      <c r="T584" s="14">
        <f t="shared" si="7"/>
        <v>1405.06</v>
      </c>
      <c r="U584" s="14">
        <f t="shared" si="2"/>
        <v>3.62</v>
      </c>
      <c r="V584" s="14">
        <f t="shared" si="3"/>
        <v>-1.172277855</v>
      </c>
      <c r="W584" s="15" t="str">
        <f t="shared" si="4"/>
        <v/>
      </c>
      <c r="X584" s="11">
        <f t="shared" si="5"/>
        <v>1404.128</v>
      </c>
      <c r="Y584" s="14">
        <f t="shared" si="6"/>
        <v>0.932</v>
      </c>
      <c r="Z584" s="25"/>
      <c r="AA584" s="21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</row>
    <row r="585">
      <c r="A585" s="21"/>
      <c r="B585" s="21"/>
      <c r="C585" s="21"/>
      <c r="D585" s="21"/>
      <c r="E585" s="21"/>
      <c r="F585" s="21" t="s">
        <v>33</v>
      </c>
      <c r="G585" s="21">
        <v>4218.0</v>
      </c>
      <c r="H585" s="26">
        <v>39.027137</v>
      </c>
      <c r="I585" s="26">
        <v>-112.563583</v>
      </c>
      <c r="J585" s="21">
        <v>1407.06</v>
      </c>
      <c r="K585" s="11">
        <v>29894.041</v>
      </c>
      <c r="L585" s="11">
        <v>-29900.183</v>
      </c>
      <c r="M585" s="11">
        <v>-103.194</v>
      </c>
      <c r="N585" s="11">
        <v>29894.021</v>
      </c>
      <c r="O585" s="11">
        <v>-29900.163</v>
      </c>
      <c r="P585" s="11">
        <v>-107.554</v>
      </c>
      <c r="Q585" s="11">
        <v>1421.51</v>
      </c>
      <c r="R585" s="11">
        <v>-19.81</v>
      </c>
      <c r="S585" s="12">
        <v>0.89</v>
      </c>
      <c r="T585" s="14">
        <f t="shared" si="7"/>
        <v>1402.7</v>
      </c>
      <c r="U585" s="14">
        <f t="shared" si="2"/>
        <v>4.36</v>
      </c>
      <c r="V585" s="14">
        <f t="shared" si="3"/>
        <v>-0.2414993007</v>
      </c>
      <c r="W585" s="15" t="str">
        <f t="shared" si="4"/>
        <v/>
      </c>
      <c r="X585" s="11">
        <f t="shared" si="5"/>
        <v>1402.508</v>
      </c>
      <c r="Y585" s="14">
        <f t="shared" si="6"/>
        <v>0.192</v>
      </c>
      <c r="Z585" s="25"/>
      <c r="AA585" s="21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</row>
    <row r="586">
      <c r="A586" s="21"/>
      <c r="B586" s="21"/>
      <c r="C586" s="21"/>
      <c r="D586" s="21"/>
      <c r="E586" s="21"/>
      <c r="F586" s="21" t="s">
        <v>33</v>
      </c>
      <c r="G586" s="21">
        <v>4219.0</v>
      </c>
      <c r="H586" s="26">
        <v>39.027451</v>
      </c>
      <c r="I586" s="26">
        <v>-112.539597</v>
      </c>
      <c r="J586" s="21">
        <v>1411.21</v>
      </c>
      <c r="K586" s="11">
        <v>31971.365</v>
      </c>
      <c r="L586" s="11">
        <v>-29857.135</v>
      </c>
      <c r="M586" s="11">
        <v>-108.901</v>
      </c>
      <c r="N586" s="11">
        <v>31971.343</v>
      </c>
      <c r="O586" s="11">
        <v>-29857.114</v>
      </c>
      <c r="P586" s="11">
        <v>-113.351</v>
      </c>
      <c r="Q586" s="11">
        <v>1425.48</v>
      </c>
      <c r="R586" s="11">
        <v>-19.72</v>
      </c>
      <c r="S586" s="12">
        <v>0.89</v>
      </c>
      <c r="T586" s="14">
        <f t="shared" si="7"/>
        <v>1406.76</v>
      </c>
      <c r="U586" s="14">
        <f t="shared" si="2"/>
        <v>4.45</v>
      </c>
      <c r="V586" s="14">
        <f t="shared" si="3"/>
        <v>-0.1282965035</v>
      </c>
      <c r="W586" s="15" t="str">
        <f t="shared" si="4"/>
        <v/>
      </c>
      <c r="X586" s="11">
        <f t="shared" si="5"/>
        <v>1406.658</v>
      </c>
      <c r="Y586" s="14">
        <f t="shared" si="6"/>
        <v>0.102</v>
      </c>
      <c r="Z586" s="25"/>
      <c r="AA586" s="21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</row>
    <row r="587">
      <c r="A587" s="21"/>
      <c r="B587" s="21"/>
      <c r="C587" s="21"/>
      <c r="D587" s="21"/>
      <c r="E587" s="21"/>
      <c r="F587" s="21" t="s">
        <v>33</v>
      </c>
      <c r="G587" s="21">
        <v>4308.0</v>
      </c>
      <c r="H587" s="26">
        <v>39.042383</v>
      </c>
      <c r="I587" s="26">
        <v>-112.804337</v>
      </c>
      <c r="J587" s="21">
        <v>1410.27</v>
      </c>
      <c r="K587" s="11">
        <v>9040.002</v>
      </c>
      <c r="L587" s="11">
        <v>-28259.099</v>
      </c>
      <c r="M587" s="11">
        <v>-28.931</v>
      </c>
      <c r="N587" s="11">
        <v>9039.995</v>
      </c>
      <c r="O587" s="11">
        <v>-28259.077</v>
      </c>
      <c r="P587" s="11">
        <v>-33.841</v>
      </c>
      <c r="Q587" s="11">
        <v>1424.4</v>
      </c>
      <c r="R587" s="11">
        <v>-20.04</v>
      </c>
      <c r="S587" s="12">
        <v>0.89</v>
      </c>
      <c r="T587" s="14">
        <f t="shared" si="7"/>
        <v>1405.36</v>
      </c>
      <c r="U587" s="14">
        <f t="shared" si="2"/>
        <v>4.91</v>
      </c>
      <c r="V587" s="14">
        <f t="shared" si="3"/>
        <v>0.4502955711</v>
      </c>
      <c r="W587" s="15" t="str">
        <f t="shared" si="4"/>
        <v/>
      </c>
      <c r="X587" s="11">
        <f t="shared" si="5"/>
        <v>1405.718</v>
      </c>
      <c r="Y587" s="14">
        <f t="shared" si="6"/>
        <v>-0.358</v>
      </c>
      <c r="Z587" s="25"/>
      <c r="AA587" s="21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</row>
    <row r="588">
      <c r="A588" s="21"/>
      <c r="B588" s="21"/>
      <c r="C588" s="21"/>
      <c r="D588" s="21"/>
      <c r="E588" s="21"/>
      <c r="F588" s="21" t="s">
        <v>33</v>
      </c>
      <c r="G588" s="21">
        <v>4309.0</v>
      </c>
      <c r="H588" s="26">
        <v>39.042743</v>
      </c>
      <c r="I588" s="26">
        <v>-112.780231</v>
      </c>
      <c r="J588" s="21">
        <v>1395.43</v>
      </c>
      <c r="K588" s="11">
        <v>11127.346</v>
      </c>
      <c r="L588" s="11">
        <v>-28216.372</v>
      </c>
      <c r="M588" s="11">
        <v>-46.876</v>
      </c>
      <c r="N588" s="11">
        <v>11127.337</v>
      </c>
      <c r="O588" s="11">
        <v>-28216.35</v>
      </c>
      <c r="P588" s="11">
        <v>-51.896</v>
      </c>
      <c r="Q588" s="11">
        <v>1409.48</v>
      </c>
      <c r="R588" s="11">
        <v>-20.07</v>
      </c>
      <c r="S588" s="12">
        <v>0.89</v>
      </c>
      <c r="T588" s="14">
        <f t="shared" si="7"/>
        <v>1390.41</v>
      </c>
      <c r="U588" s="14">
        <f t="shared" si="2"/>
        <v>5.02</v>
      </c>
      <c r="V588" s="14">
        <f t="shared" si="3"/>
        <v>0.5886545455</v>
      </c>
      <c r="W588" s="15" t="str">
        <f t="shared" si="4"/>
        <v/>
      </c>
      <c r="X588" s="11">
        <f t="shared" si="5"/>
        <v>1390.878</v>
      </c>
      <c r="Y588" s="14">
        <f t="shared" si="6"/>
        <v>-0.468</v>
      </c>
      <c r="Z588" s="25"/>
      <c r="AA588" s="21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</row>
    <row r="589">
      <c r="A589" s="21"/>
      <c r="B589" s="21"/>
      <c r="C589" s="21"/>
      <c r="D589" s="21"/>
      <c r="E589" s="21"/>
      <c r="F589" s="21" t="s">
        <v>33</v>
      </c>
      <c r="G589" s="21">
        <v>4310.0</v>
      </c>
      <c r="H589" s="26">
        <v>39.043154</v>
      </c>
      <c r="I589" s="26">
        <v>-112.756245</v>
      </c>
      <c r="J589" s="21">
        <v>1393.03</v>
      </c>
      <c r="K589" s="11">
        <v>13204.282</v>
      </c>
      <c r="L589" s="11">
        <v>-28167.499</v>
      </c>
      <c r="M589" s="11">
        <v>-53.015</v>
      </c>
      <c r="N589" s="11">
        <v>13204.273</v>
      </c>
      <c r="O589" s="11">
        <v>-28167.479</v>
      </c>
      <c r="P589" s="11">
        <v>-57.375</v>
      </c>
      <c r="Q589" s="11">
        <v>1407.75</v>
      </c>
      <c r="R589" s="11">
        <v>-20.08</v>
      </c>
      <c r="S589" s="12">
        <v>0.89</v>
      </c>
      <c r="T589" s="14">
        <f t="shared" si="7"/>
        <v>1388.67</v>
      </c>
      <c r="U589" s="14">
        <f t="shared" si="2"/>
        <v>4.36</v>
      </c>
      <c r="V589" s="14">
        <f t="shared" si="3"/>
        <v>-0.2414993007</v>
      </c>
      <c r="W589" s="15" t="str">
        <f t="shared" si="4"/>
        <v/>
      </c>
      <c r="X589" s="11">
        <f t="shared" si="5"/>
        <v>1388.478</v>
      </c>
      <c r="Y589" s="14">
        <f t="shared" si="6"/>
        <v>0.192</v>
      </c>
      <c r="Z589" s="25"/>
      <c r="AA589" s="21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</row>
    <row r="590">
      <c r="A590" s="21"/>
      <c r="B590" s="21"/>
      <c r="C590" s="21"/>
      <c r="D590" s="21"/>
      <c r="E590" s="21"/>
      <c r="F590" s="21" t="s">
        <v>33</v>
      </c>
      <c r="G590" s="21">
        <v>4311.0</v>
      </c>
      <c r="H590" s="26">
        <v>39.043451</v>
      </c>
      <c r="I590" s="26">
        <v>-112.732263</v>
      </c>
      <c r="J590" s="21">
        <v>1395.84</v>
      </c>
      <c r="K590" s="11">
        <v>15280.881</v>
      </c>
      <c r="L590" s="11">
        <v>-28130.757</v>
      </c>
      <c r="M590" s="11">
        <v>-54.673</v>
      </c>
      <c r="N590" s="11">
        <v>15280.869</v>
      </c>
      <c r="O590" s="11">
        <v>-28130.735</v>
      </c>
      <c r="P590" s="11">
        <v>-59.593</v>
      </c>
      <c r="Q590" s="11">
        <v>1410.0</v>
      </c>
      <c r="R590" s="11">
        <v>-20.08</v>
      </c>
      <c r="S590" s="12">
        <v>0.89</v>
      </c>
      <c r="T590" s="14">
        <f t="shared" si="7"/>
        <v>1390.92</v>
      </c>
      <c r="U590" s="14">
        <f t="shared" si="2"/>
        <v>4.92</v>
      </c>
      <c r="V590" s="14">
        <f t="shared" si="3"/>
        <v>0.4628736597</v>
      </c>
      <c r="W590" s="15" t="str">
        <f t="shared" si="4"/>
        <v/>
      </c>
      <c r="X590" s="11">
        <f t="shared" si="5"/>
        <v>1391.288</v>
      </c>
      <c r="Y590" s="14">
        <f t="shared" si="6"/>
        <v>-0.368</v>
      </c>
      <c r="Z590" s="25"/>
      <c r="AA590" s="21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</row>
    <row r="591">
      <c r="A591" s="21"/>
      <c r="B591" s="21"/>
      <c r="C591" s="21"/>
      <c r="D591" s="21"/>
      <c r="E591" s="21"/>
      <c r="F591" s="21" t="s">
        <v>33</v>
      </c>
      <c r="G591" s="21">
        <v>4312.0</v>
      </c>
      <c r="H591" s="26">
        <v>39.043888</v>
      </c>
      <c r="I591" s="26">
        <v>-112.708236</v>
      </c>
      <c r="J591" s="21">
        <v>1396.71</v>
      </c>
      <c r="K591" s="11">
        <v>17361.319</v>
      </c>
      <c r="L591" s="11">
        <v>-28077.902</v>
      </c>
      <c r="M591" s="11">
        <v>-58.885</v>
      </c>
      <c r="N591" s="11">
        <v>17361.305</v>
      </c>
      <c r="O591" s="11">
        <v>-28077.88</v>
      </c>
      <c r="P591" s="11">
        <v>-63.875</v>
      </c>
      <c r="Q591" s="11">
        <v>1410.8</v>
      </c>
      <c r="R591" s="11">
        <v>-20.08</v>
      </c>
      <c r="S591" s="12">
        <v>0.89</v>
      </c>
      <c r="T591" s="14">
        <f t="shared" si="7"/>
        <v>1391.72</v>
      </c>
      <c r="U591" s="14">
        <f t="shared" si="2"/>
        <v>4.99</v>
      </c>
      <c r="V591" s="14">
        <f t="shared" si="3"/>
        <v>0.5509202797</v>
      </c>
      <c r="W591" s="15" t="str">
        <f t="shared" si="4"/>
        <v/>
      </c>
      <c r="X591" s="11">
        <f t="shared" si="5"/>
        <v>1392.158</v>
      </c>
      <c r="Y591" s="14">
        <f t="shared" si="6"/>
        <v>-0.438</v>
      </c>
      <c r="Z591" s="25"/>
      <c r="AA591" s="21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</row>
    <row r="592">
      <c r="A592" s="21"/>
      <c r="B592" s="21"/>
      <c r="C592" s="21"/>
      <c r="D592" s="21"/>
      <c r="E592" s="21"/>
      <c r="F592" s="21" t="s">
        <v>33</v>
      </c>
      <c r="G592" s="21">
        <v>4313.0</v>
      </c>
      <c r="H592" s="26">
        <v>39.044144</v>
      </c>
      <c r="I592" s="26">
        <v>-112.684181</v>
      </c>
      <c r="J592" s="21">
        <v>1395.68</v>
      </c>
      <c r="K592" s="11">
        <v>19444.196</v>
      </c>
      <c r="L592" s="11">
        <v>-28044.578</v>
      </c>
      <c r="M592" s="11">
        <v>-65.768</v>
      </c>
      <c r="N592" s="11">
        <v>19444.184</v>
      </c>
      <c r="O592" s="11">
        <v>-28044.56</v>
      </c>
      <c r="P592" s="11">
        <v>-69.838</v>
      </c>
      <c r="Q592" s="11">
        <v>1410.67</v>
      </c>
      <c r="R592" s="11">
        <v>-20.06</v>
      </c>
      <c r="S592" s="12">
        <v>0.89</v>
      </c>
      <c r="T592" s="14">
        <f t="shared" si="7"/>
        <v>1391.61</v>
      </c>
      <c r="U592" s="14">
        <f t="shared" si="2"/>
        <v>4.07</v>
      </c>
      <c r="V592" s="14">
        <f t="shared" si="3"/>
        <v>-0.6062638695</v>
      </c>
      <c r="W592" s="15" t="str">
        <f t="shared" si="4"/>
        <v/>
      </c>
      <c r="X592" s="11">
        <f t="shared" si="5"/>
        <v>1391.128</v>
      </c>
      <c r="Y592" s="14">
        <f t="shared" si="6"/>
        <v>0.482</v>
      </c>
      <c r="Z592" s="25"/>
      <c r="AA592" s="21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</row>
    <row r="593">
      <c r="A593" s="21"/>
      <c r="B593" s="21"/>
      <c r="C593" s="21"/>
      <c r="D593" s="21"/>
      <c r="E593" s="21"/>
      <c r="F593" s="21" t="s">
        <v>33</v>
      </c>
      <c r="G593" s="21">
        <v>4314.0</v>
      </c>
      <c r="H593" s="26">
        <v>39.044518</v>
      </c>
      <c r="I593" s="26">
        <v>-112.660079</v>
      </c>
      <c r="J593" s="21">
        <v>1392.09</v>
      </c>
      <c r="K593" s="11">
        <v>21531.081</v>
      </c>
      <c r="L593" s="11">
        <v>-27997.575</v>
      </c>
      <c r="M593" s="11">
        <v>-75.844</v>
      </c>
      <c r="N593" s="11">
        <v>21531.068</v>
      </c>
      <c r="O593" s="11">
        <v>-27997.558</v>
      </c>
      <c r="P593" s="11">
        <v>-79.734</v>
      </c>
      <c r="Q593" s="11">
        <v>1407.24</v>
      </c>
      <c r="R593" s="11">
        <v>-20.04</v>
      </c>
      <c r="S593" s="12">
        <v>0.89</v>
      </c>
      <c r="T593" s="14">
        <f t="shared" si="7"/>
        <v>1388.2</v>
      </c>
      <c r="U593" s="14">
        <f t="shared" si="2"/>
        <v>3.89</v>
      </c>
      <c r="V593" s="14">
        <f t="shared" si="3"/>
        <v>-0.8326694639</v>
      </c>
      <c r="W593" s="15" t="str">
        <f t="shared" si="4"/>
        <v/>
      </c>
      <c r="X593" s="11">
        <f t="shared" si="5"/>
        <v>1387.538</v>
      </c>
      <c r="Y593" s="14">
        <f t="shared" si="6"/>
        <v>0.662</v>
      </c>
      <c r="Z593" s="25"/>
      <c r="AA593" s="21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</row>
    <row r="594">
      <c r="A594" s="21"/>
      <c r="B594" s="21"/>
      <c r="C594" s="21"/>
      <c r="D594" s="21"/>
      <c r="E594" s="21"/>
      <c r="F594" s="21" t="s">
        <v>33</v>
      </c>
      <c r="G594" s="21">
        <v>4315.0</v>
      </c>
      <c r="H594" s="26">
        <v>39.044873</v>
      </c>
      <c r="I594" s="26">
        <v>-112.636191</v>
      </c>
      <c r="J594" s="21">
        <v>1392.75</v>
      </c>
      <c r="K594" s="11">
        <v>23599.429</v>
      </c>
      <c r="L594" s="11">
        <v>-27952.201</v>
      </c>
      <c r="M594" s="11">
        <v>-82.291</v>
      </c>
      <c r="N594" s="11">
        <v>23599.413</v>
      </c>
      <c r="O594" s="11">
        <v>-27952.182</v>
      </c>
      <c r="P594" s="11">
        <v>-86.421</v>
      </c>
      <c r="Q594" s="11">
        <v>1407.62</v>
      </c>
      <c r="R594" s="11">
        <v>-20.0</v>
      </c>
      <c r="S594" s="12">
        <v>0.89</v>
      </c>
      <c r="T594" s="14">
        <f t="shared" si="7"/>
        <v>1388.62</v>
      </c>
      <c r="U594" s="14">
        <f t="shared" si="2"/>
        <v>4.13</v>
      </c>
      <c r="V594" s="14">
        <f t="shared" si="3"/>
        <v>-0.530795338</v>
      </c>
      <c r="W594" s="15" t="str">
        <f t="shared" si="4"/>
        <v/>
      </c>
      <c r="X594" s="11">
        <f t="shared" si="5"/>
        <v>1388.198</v>
      </c>
      <c r="Y594" s="14">
        <f t="shared" si="6"/>
        <v>0.422</v>
      </c>
      <c r="Z594" s="25"/>
      <c r="AA594" s="21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</row>
    <row r="595">
      <c r="A595" s="21"/>
      <c r="B595" s="21"/>
      <c r="C595" s="21"/>
      <c r="D595" s="21"/>
      <c r="E595" s="21"/>
      <c r="F595" s="21" t="s">
        <v>33</v>
      </c>
      <c r="G595" s="21">
        <v>4317.0</v>
      </c>
      <c r="H595" s="26">
        <v>39.045402</v>
      </c>
      <c r="I595" s="26">
        <v>-112.588204</v>
      </c>
      <c r="J595" s="21">
        <v>1410.74</v>
      </c>
      <c r="K595" s="11">
        <v>27754.464</v>
      </c>
      <c r="L595" s="11">
        <v>-27879.92</v>
      </c>
      <c r="M595" s="11">
        <v>-80.685</v>
      </c>
      <c r="N595" s="11">
        <v>27754.442</v>
      </c>
      <c r="O595" s="11">
        <v>-27879.897</v>
      </c>
      <c r="P595" s="11">
        <v>-85.785</v>
      </c>
      <c r="Q595" s="11">
        <v>1424.52</v>
      </c>
      <c r="R595" s="11">
        <v>-19.88</v>
      </c>
      <c r="S595" s="12">
        <v>0.89</v>
      </c>
      <c r="T595" s="14">
        <f t="shared" si="7"/>
        <v>1405.64</v>
      </c>
      <c r="U595" s="14">
        <f t="shared" si="2"/>
        <v>5.1</v>
      </c>
      <c r="V595" s="14">
        <f t="shared" si="3"/>
        <v>0.6892792541</v>
      </c>
      <c r="W595" s="15" t="str">
        <f t="shared" si="4"/>
        <v/>
      </c>
      <c r="X595" s="11">
        <f t="shared" si="5"/>
        <v>1406.188</v>
      </c>
      <c r="Y595" s="14">
        <f t="shared" si="6"/>
        <v>-0.548</v>
      </c>
      <c r="Z595" s="25"/>
      <c r="AA595" s="21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</row>
    <row r="596">
      <c r="A596" s="21"/>
      <c r="B596" s="21"/>
      <c r="C596" s="21"/>
      <c r="D596" s="21"/>
      <c r="E596" s="21"/>
      <c r="F596" s="21" t="s">
        <v>33</v>
      </c>
      <c r="G596" s="21">
        <v>4318.0</v>
      </c>
      <c r="H596" s="26">
        <v>39.045847</v>
      </c>
      <c r="I596" s="26">
        <v>-112.564073</v>
      </c>
      <c r="J596" s="21">
        <v>1418.99</v>
      </c>
      <c r="K596" s="11">
        <v>29843.787</v>
      </c>
      <c r="L596" s="11">
        <v>-27822.861</v>
      </c>
      <c r="M596" s="11">
        <v>-81.605</v>
      </c>
      <c r="N596" s="11">
        <v>29843.768</v>
      </c>
      <c r="O596" s="11">
        <v>-27822.844</v>
      </c>
      <c r="P596" s="11">
        <v>-85.685</v>
      </c>
      <c r="Q596" s="11">
        <v>1433.71</v>
      </c>
      <c r="R596" s="11">
        <v>-19.8</v>
      </c>
      <c r="S596" s="12">
        <v>0.89</v>
      </c>
      <c r="T596" s="14">
        <f t="shared" si="7"/>
        <v>1414.91</v>
      </c>
      <c r="U596" s="14">
        <f t="shared" si="2"/>
        <v>4.08</v>
      </c>
      <c r="V596" s="14">
        <f t="shared" si="3"/>
        <v>-0.5936857809</v>
      </c>
      <c r="W596" s="15" t="str">
        <f t="shared" si="4"/>
        <v/>
      </c>
      <c r="X596" s="11">
        <f t="shared" si="5"/>
        <v>1414.438</v>
      </c>
      <c r="Y596" s="14">
        <f t="shared" si="6"/>
        <v>0.472</v>
      </c>
      <c r="Z596" s="25"/>
      <c r="AA596" s="21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</row>
    <row r="597">
      <c r="A597" s="21"/>
      <c r="B597" s="21"/>
      <c r="C597" s="21"/>
      <c r="D597" s="21"/>
      <c r="E597" s="21"/>
      <c r="F597" s="21" t="s">
        <v>33</v>
      </c>
      <c r="G597" s="21">
        <v>4319.0</v>
      </c>
      <c r="H597" s="26">
        <v>39.046196</v>
      </c>
      <c r="I597" s="26">
        <v>-112.539963</v>
      </c>
      <c r="J597" s="21">
        <v>1427.57</v>
      </c>
      <c r="K597" s="11">
        <v>31931.31</v>
      </c>
      <c r="L597" s="11">
        <v>-27775.914</v>
      </c>
      <c r="M597" s="11">
        <v>-82.913</v>
      </c>
      <c r="N597" s="11">
        <v>31931.291</v>
      </c>
      <c r="O597" s="11">
        <v>-27775.898</v>
      </c>
      <c r="P597" s="11">
        <v>-86.683</v>
      </c>
      <c r="Q597" s="11">
        <v>1442.5</v>
      </c>
      <c r="R597" s="11">
        <v>-19.7</v>
      </c>
      <c r="S597" s="12">
        <v>0.89</v>
      </c>
      <c r="T597" s="14">
        <f t="shared" si="7"/>
        <v>1423.8</v>
      </c>
      <c r="U597" s="14">
        <f t="shared" si="2"/>
        <v>3.77</v>
      </c>
      <c r="V597" s="14">
        <f t="shared" si="3"/>
        <v>-0.9836065268</v>
      </c>
      <c r="W597" s="15" t="str">
        <f t="shared" si="4"/>
        <v/>
      </c>
      <c r="X597" s="11">
        <f t="shared" si="5"/>
        <v>1423.018</v>
      </c>
      <c r="Y597" s="14">
        <f t="shared" si="6"/>
        <v>0.782</v>
      </c>
      <c r="Z597" s="25"/>
      <c r="AA597" s="21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</row>
    <row r="598">
      <c r="A598" s="21"/>
      <c r="B598" s="21"/>
      <c r="C598" s="21"/>
      <c r="D598" s="21"/>
      <c r="E598" s="21"/>
      <c r="F598" s="21" t="s">
        <v>33</v>
      </c>
      <c r="G598" s="21">
        <v>4408.0</v>
      </c>
      <c r="H598" s="26">
        <v>39.061103</v>
      </c>
      <c r="I598" s="26">
        <v>-112.804794</v>
      </c>
      <c r="J598" s="21">
        <v>1388.27</v>
      </c>
      <c r="K598" s="11">
        <v>8998.022</v>
      </c>
      <c r="L598" s="11">
        <v>-26180.386</v>
      </c>
      <c r="M598" s="11">
        <v>-41.978</v>
      </c>
      <c r="N598" s="11">
        <v>8998.017</v>
      </c>
      <c r="O598" s="11">
        <v>-26180.37</v>
      </c>
      <c r="P598" s="11">
        <v>-45.668</v>
      </c>
      <c r="Q598" s="11">
        <v>1403.61</v>
      </c>
      <c r="R598" s="11">
        <v>-20.03</v>
      </c>
      <c r="S598" s="12">
        <v>0.89</v>
      </c>
      <c r="T598" s="14">
        <f t="shared" si="7"/>
        <v>1384.58</v>
      </c>
      <c r="U598" s="14">
        <f t="shared" si="2"/>
        <v>3.69</v>
      </c>
      <c r="V598" s="14">
        <f t="shared" si="3"/>
        <v>-1.084231235</v>
      </c>
      <c r="W598" s="15" t="str">
        <f t="shared" si="4"/>
        <v/>
      </c>
      <c r="X598" s="11">
        <f t="shared" si="5"/>
        <v>1383.718</v>
      </c>
      <c r="Y598" s="14">
        <f t="shared" si="6"/>
        <v>0.862</v>
      </c>
      <c r="Z598" s="25"/>
      <c r="AA598" s="21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</row>
    <row r="599">
      <c r="A599" s="21"/>
      <c r="B599" s="21"/>
      <c r="C599" s="21"/>
      <c r="D599" s="21"/>
      <c r="E599" s="21"/>
      <c r="F599" s="21" t="s">
        <v>33</v>
      </c>
      <c r="G599" s="21">
        <v>4409.0</v>
      </c>
      <c r="H599" s="26">
        <v>39.061509</v>
      </c>
      <c r="I599" s="26">
        <v>-112.780571</v>
      </c>
      <c r="J599" s="21">
        <v>1388.19</v>
      </c>
      <c r="K599" s="11">
        <v>11094.955</v>
      </c>
      <c r="L599" s="11">
        <v>-26132.613</v>
      </c>
      <c r="M599" s="11">
        <v>-45.16</v>
      </c>
      <c r="N599" s="11">
        <v>11094.947</v>
      </c>
      <c r="O599" s="11">
        <v>-26132.595</v>
      </c>
      <c r="P599" s="11">
        <v>-49.51</v>
      </c>
      <c r="Q599" s="11">
        <v>1402.89</v>
      </c>
      <c r="R599" s="11">
        <v>-20.05</v>
      </c>
      <c r="S599" s="12">
        <v>0.89</v>
      </c>
      <c r="T599" s="14">
        <f t="shared" si="7"/>
        <v>1383.84</v>
      </c>
      <c r="U599" s="14">
        <f t="shared" si="2"/>
        <v>4.35</v>
      </c>
      <c r="V599" s="14">
        <f t="shared" si="3"/>
        <v>-0.2540773893</v>
      </c>
      <c r="W599" s="15" t="str">
        <f t="shared" si="4"/>
        <v/>
      </c>
      <c r="X599" s="11">
        <f t="shared" si="5"/>
        <v>1383.638</v>
      </c>
      <c r="Y599" s="14">
        <f t="shared" si="6"/>
        <v>0.202</v>
      </c>
      <c r="Z599" s="25"/>
      <c r="AA599" s="21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</row>
    <row r="600">
      <c r="A600" s="21"/>
      <c r="B600" s="21"/>
      <c r="C600" s="21"/>
      <c r="D600" s="21"/>
      <c r="E600" s="21"/>
      <c r="F600" s="21" t="s">
        <v>33</v>
      </c>
      <c r="G600" s="21">
        <v>4410.0</v>
      </c>
      <c r="H600" s="26">
        <v>39.061827</v>
      </c>
      <c r="I600" s="26">
        <v>-112.756649</v>
      </c>
      <c r="J600" s="21">
        <v>1389.5</v>
      </c>
      <c r="K600" s="11">
        <v>13165.824</v>
      </c>
      <c r="L600" s="11">
        <v>-26094.1</v>
      </c>
      <c r="M600" s="11">
        <v>-47.624</v>
      </c>
      <c r="N600" s="11">
        <v>13165.815</v>
      </c>
      <c r="O600" s="11">
        <v>-26094.083</v>
      </c>
      <c r="P600" s="11">
        <v>-51.814</v>
      </c>
      <c r="Q600" s="11">
        <v>1404.38</v>
      </c>
      <c r="R600" s="11">
        <v>-20.07</v>
      </c>
      <c r="S600" s="12">
        <v>0.89</v>
      </c>
      <c r="T600" s="14">
        <f t="shared" si="7"/>
        <v>1385.31</v>
      </c>
      <c r="U600" s="14">
        <f t="shared" si="2"/>
        <v>4.19</v>
      </c>
      <c r="V600" s="14">
        <f t="shared" si="3"/>
        <v>-0.4553268065</v>
      </c>
      <c r="W600" s="15" t="str">
        <f t="shared" si="4"/>
        <v/>
      </c>
      <c r="X600" s="11">
        <f t="shared" si="5"/>
        <v>1384.948</v>
      </c>
      <c r="Y600" s="14">
        <f t="shared" si="6"/>
        <v>0.362</v>
      </c>
      <c r="Z600" s="25"/>
      <c r="AA600" s="21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</row>
    <row r="601">
      <c r="A601" s="21"/>
      <c r="B601" s="21"/>
      <c r="C601" s="21"/>
      <c r="D601" s="21"/>
      <c r="E601" s="21"/>
      <c r="F601" s="21" t="s">
        <v>33</v>
      </c>
      <c r="G601" s="21">
        <v>4411.0</v>
      </c>
      <c r="H601" s="26">
        <v>39.06222</v>
      </c>
      <c r="I601" s="26">
        <v>-112.732705</v>
      </c>
      <c r="J601" s="21">
        <v>1388.01</v>
      </c>
      <c r="K601" s="11">
        <v>15238.554</v>
      </c>
      <c r="L601" s="11">
        <v>-26046.696</v>
      </c>
      <c r="M601" s="11">
        <v>-53.528</v>
      </c>
      <c r="N601" s="11">
        <v>15238.544</v>
      </c>
      <c r="O601" s="11">
        <v>-26046.679</v>
      </c>
      <c r="P601" s="11">
        <v>-57.718</v>
      </c>
      <c r="Q601" s="11">
        <v>1402.9</v>
      </c>
      <c r="R601" s="11">
        <v>-20.08</v>
      </c>
      <c r="S601" s="12">
        <v>0.89</v>
      </c>
      <c r="T601" s="14">
        <f t="shared" si="7"/>
        <v>1383.82</v>
      </c>
      <c r="U601" s="14">
        <f t="shared" si="2"/>
        <v>4.19</v>
      </c>
      <c r="V601" s="14">
        <f t="shared" si="3"/>
        <v>-0.4553268065</v>
      </c>
      <c r="W601" s="15" t="str">
        <f t="shared" si="4"/>
        <v/>
      </c>
      <c r="X601" s="11">
        <f t="shared" si="5"/>
        <v>1383.458</v>
      </c>
      <c r="Y601" s="14">
        <f t="shared" si="6"/>
        <v>0.362</v>
      </c>
      <c r="Z601" s="25"/>
      <c r="AA601" s="21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</row>
    <row r="602">
      <c r="A602" s="21"/>
      <c r="B602" s="21"/>
      <c r="C602" s="21"/>
      <c r="D602" s="21"/>
      <c r="E602" s="21"/>
      <c r="F602" s="21" t="s">
        <v>33</v>
      </c>
      <c r="G602" s="21">
        <v>4412.0</v>
      </c>
      <c r="H602" s="26">
        <v>39.062565</v>
      </c>
      <c r="I602" s="26">
        <v>-112.708671</v>
      </c>
      <c r="J602" s="21">
        <v>1390.08</v>
      </c>
      <c r="K602" s="11">
        <v>17319.071</v>
      </c>
      <c r="L602" s="11">
        <v>-26004.071</v>
      </c>
      <c r="M602" s="11">
        <v>-56.586</v>
      </c>
      <c r="N602" s="11">
        <v>17319.061</v>
      </c>
      <c r="O602" s="11">
        <v>-26004.056</v>
      </c>
      <c r="P602" s="11">
        <v>-60.386</v>
      </c>
      <c r="Q602" s="11">
        <v>1405.35</v>
      </c>
      <c r="R602" s="11">
        <v>-20.07</v>
      </c>
      <c r="S602" s="12">
        <v>0.89</v>
      </c>
      <c r="T602" s="14">
        <f t="shared" si="7"/>
        <v>1386.28</v>
      </c>
      <c r="U602" s="14">
        <f t="shared" si="2"/>
        <v>3.8</v>
      </c>
      <c r="V602" s="14">
        <f t="shared" si="3"/>
        <v>-0.9458722611</v>
      </c>
      <c r="W602" s="15" t="str">
        <f t="shared" si="4"/>
        <v/>
      </c>
      <c r="X602" s="11">
        <f t="shared" si="5"/>
        <v>1385.528</v>
      </c>
      <c r="Y602" s="14">
        <f t="shared" si="6"/>
        <v>0.752</v>
      </c>
      <c r="Z602" s="25"/>
      <c r="AA602" s="21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</row>
    <row r="603">
      <c r="A603" s="21"/>
      <c r="B603" s="21"/>
      <c r="C603" s="21"/>
      <c r="D603" s="21"/>
      <c r="E603" s="21"/>
      <c r="F603" s="21" t="s">
        <v>33</v>
      </c>
      <c r="G603" s="21">
        <v>4413.0</v>
      </c>
      <c r="H603" s="26">
        <v>39.062694</v>
      </c>
      <c r="I603" s="26">
        <v>-112.683549</v>
      </c>
      <c r="J603" s="21">
        <v>1388.48</v>
      </c>
      <c r="K603" s="11">
        <v>19493.799</v>
      </c>
      <c r="L603" s="11">
        <v>-25984.629</v>
      </c>
      <c r="M603" s="11">
        <v>-64.373</v>
      </c>
      <c r="N603" s="11">
        <v>19493.79</v>
      </c>
      <c r="O603" s="11">
        <v>-25984.616</v>
      </c>
      <c r="P603" s="11">
        <v>-67.553</v>
      </c>
      <c r="Q603" s="11">
        <v>1404.35</v>
      </c>
      <c r="R603" s="11">
        <v>-20.05</v>
      </c>
      <c r="S603" s="12">
        <v>0.89</v>
      </c>
      <c r="T603" s="14">
        <f t="shared" si="7"/>
        <v>1385.3</v>
      </c>
      <c r="U603" s="14">
        <f t="shared" si="2"/>
        <v>3.18</v>
      </c>
      <c r="V603" s="14">
        <f t="shared" si="3"/>
        <v>-1.725713753</v>
      </c>
      <c r="W603" s="15" t="str">
        <f t="shared" si="4"/>
        <v/>
      </c>
      <c r="X603" s="11">
        <f t="shared" si="5"/>
        <v>1383.928</v>
      </c>
      <c r="Y603" s="14">
        <f t="shared" si="6"/>
        <v>1.372</v>
      </c>
      <c r="Z603" s="25"/>
      <c r="AA603" s="21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</row>
    <row r="604">
      <c r="A604" s="21"/>
      <c r="B604" s="21"/>
      <c r="C604" s="21"/>
      <c r="D604" s="21"/>
      <c r="E604" s="21"/>
      <c r="F604" s="21" t="s">
        <v>33</v>
      </c>
      <c r="G604" s="21">
        <v>4414.0</v>
      </c>
      <c r="H604" s="26">
        <v>39.063274</v>
      </c>
      <c r="I604" s="26">
        <v>-112.660632</v>
      </c>
      <c r="J604" s="21">
        <v>1389.03</v>
      </c>
      <c r="K604" s="11">
        <v>21477.504</v>
      </c>
      <c r="L604" s="11">
        <v>-25915.039</v>
      </c>
      <c r="M604" s="11">
        <v>-69.9</v>
      </c>
      <c r="N604" s="11">
        <v>21477.489</v>
      </c>
      <c r="O604" s="11">
        <v>-25915.021</v>
      </c>
      <c r="P604" s="11">
        <v>-74.24</v>
      </c>
      <c r="Q604" s="11">
        <v>1403.72</v>
      </c>
      <c r="R604" s="11">
        <v>-20.03</v>
      </c>
      <c r="S604" s="12">
        <v>0.89</v>
      </c>
      <c r="T604" s="14">
        <f t="shared" si="7"/>
        <v>1384.69</v>
      </c>
      <c r="U604" s="14">
        <f t="shared" si="2"/>
        <v>4.34</v>
      </c>
      <c r="V604" s="14">
        <f t="shared" si="3"/>
        <v>-0.2666554779</v>
      </c>
      <c r="W604" s="15" t="str">
        <f t="shared" si="4"/>
        <v/>
      </c>
      <c r="X604" s="11">
        <f t="shared" si="5"/>
        <v>1384.478</v>
      </c>
      <c r="Y604" s="14">
        <f t="shared" si="6"/>
        <v>0.212</v>
      </c>
      <c r="Z604" s="25"/>
      <c r="AA604" s="21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</row>
    <row r="605">
      <c r="A605" s="21"/>
      <c r="B605" s="21"/>
      <c r="C605" s="21"/>
      <c r="D605" s="21"/>
      <c r="E605" s="21"/>
      <c r="F605" s="21" t="s">
        <v>33</v>
      </c>
      <c r="G605" s="21">
        <v>4415.0</v>
      </c>
      <c r="H605" s="26">
        <v>39.06359</v>
      </c>
      <c r="I605" s="26">
        <v>-112.636573</v>
      </c>
      <c r="J605" s="21">
        <v>1398.46</v>
      </c>
      <c r="K605" s="11">
        <v>23560.152</v>
      </c>
      <c r="L605" s="11">
        <v>-25874.0</v>
      </c>
      <c r="M605" s="11">
        <v>-67.645</v>
      </c>
      <c r="N605" s="11">
        <v>23560.128</v>
      </c>
      <c r="O605" s="11">
        <v>-25873.973</v>
      </c>
      <c r="P605" s="11">
        <v>-74.295</v>
      </c>
      <c r="Q605" s="11">
        <v>1410.8</v>
      </c>
      <c r="R605" s="11">
        <v>-19.99</v>
      </c>
      <c r="S605" s="12">
        <v>0.89</v>
      </c>
      <c r="T605" s="14">
        <f t="shared" si="7"/>
        <v>1391.81</v>
      </c>
      <c r="U605" s="14">
        <f t="shared" si="2"/>
        <v>6.65</v>
      </c>
      <c r="V605" s="14">
        <f t="shared" si="3"/>
        <v>2.638882984</v>
      </c>
      <c r="W605" s="15" t="str">
        <f t="shared" si="4"/>
        <v/>
      </c>
      <c r="X605" s="11">
        <f t="shared" si="5"/>
        <v>1393.908</v>
      </c>
      <c r="Y605" s="14">
        <f t="shared" si="6"/>
        <v>-2.098</v>
      </c>
      <c r="Z605" s="25"/>
      <c r="AA605" s="21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</row>
    <row r="606">
      <c r="A606" s="21"/>
      <c r="B606" s="21"/>
      <c r="C606" s="21"/>
      <c r="D606" s="21"/>
      <c r="E606" s="21"/>
      <c r="F606" s="21" t="s">
        <v>33</v>
      </c>
      <c r="G606" s="21">
        <v>4416.0</v>
      </c>
      <c r="H606" s="26">
        <v>39.064503</v>
      </c>
      <c r="I606" s="26">
        <v>-112.613464</v>
      </c>
      <c r="J606" s="21">
        <v>1400.17</v>
      </c>
      <c r="K606" s="11">
        <v>25560.3</v>
      </c>
      <c r="L606" s="11">
        <v>-25766.354</v>
      </c>
      <c r="M606" s="11">
        <v>-73.188</v>
      </c>
      <c r="N606" s="11">
        <v>25560.277</v>
      </c>
      <c r="O606" s="11">
        <v>-25766.331</v>
      </c>
      <c r="P606" s="11">
        <v>-78.828</v>
      </c>
      <c r="Q606" s="11">
        <v>1413.47</v>
      </c>
      <c r="R606" s="11">
        <v>-19.94</v>
      </c>
      <c r="S606" s="12">
        <v>0.89</v>
      </c>
      <c r="T606" s="14">
        <f t="shared" si="7"/>
        <v>1394.53</v>
      </c>
      <c r="U606" s="14">
        <f t="shared" si="2"/>
        <v>5.64</v>
      </c>
      <c r="V606" s="14">
        <f t="shared" si="3"/>
        <v>1.368496037</v>
      </c>
      <c r="W606" s="15" t="str">
        <f t="shared" si="4"/>
        <v/>
      </c>
      <c r="X606" s="11">
        <f t="shared" si="5"/>
        <v>1395.618</v>
      </c>
      <c r="Y606" s="14">
        <f t="shared" si="6"/>
        <v>-1.088</v>
      </c>
      <c r="Z606" s="25"/>
      <c r="AA606" s="21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</row>
    <row r="607">
      <c r="A607" s="21"/>
      <c r="B607" s="21"/>
      <c r="C607" s="21"/>
      <c r="D607" s="21"/>
      <c r="E607" s="21"/>
      <c r="F607" s="21" t="s">
        <v>33</v>
      </c>
      <c r="G607" s="21">
        <v>4417.0</v>
      </c>
      <c r="H607" s="26">
        <v>39.063899</v>
      </c>
      <c r="I607" s="26">
        <v>-112.588218</v>
      </c>
      <c r="J607" s="21">
        <v>1406.66</v>
      </c>
      <c r="K607" s="11">
        <v>27745.995</v>
      </c>
      <c r="L607" s="11">
        <v>-25826.011</v>
      </c>
      <c r="M607" s="11">
        <v>-76.06</v>
      </c>
      <c r="N607" s="11">
        <v>27745.978</v>
      </c>
      <c r="O607" s="11">
        <v>-25825.994</v>
      </c>
      <c r="P607" s="11">
        <v>-80.08</v>
      </c>
      <c r="Q607" s="11">
        <v>1421.51</v>
      </c>
      <c r="R607" s="11">
        <v>-19.87</v>
      </c>
      <c r="S607" s="12">
        <v>0.89</v>
      </c>
      <c r="T607" s="14">
        <f t="shared" si="7"/>
        <v>1402.64</v>
      </c>
      <c r="U607" s="14">
        <f t="shared" si="2"/>
        <v>4.02</v>
      </c>
      <c r="V607" s="14">
        <f t="shared" si="3"/>
        <v>-0.6691543124</v>
      </c>
      <c r="W607" s="15" t="str">
        <f t="shared" si="4"/>
        <v/>
      </c>
      <c r="X607" s="11">
        <f t="shared" si="5"/>
        <v>1402.108</v>
      </c>
      <c r="Y607" s="14">
        <f t="shared" si="6"/>
        <v>0.532</v>
      </c>
      <c r="Z607" s="25"/>
      <c r="AA607" s="21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</row>
    <row r="608">
      <c r="A608" s="21"/>
      <c r="B608" s="21"/>
      <c r="C608" s="21"/>
      <c r="D608" s="21"/>
      <c r="E608" s="21"/>
      <c r="F608" s="21" t="s">
        <v>33</v>
      </c>
      <c r="G608" s="21">
        <v>4418.0</v>
      </c>
      <c r="H608" s="26">
        <v>39.064675</v>
      </c>
      <c r="I608" s="26">
        <v>-112.564431</v>
      </c>
      <c r="J608" s="21">
        <v>1423.39</v>
      </c>
      <c r="K608" s="11">
        <v>29804.893</v>
      </c>
      <c r="L608" s="11">
        <v>-25732.345</v>
      </c>
      <c r="M608" s="11">
        <v>-68.224</v>
      </c>
      <c r="N608" s="11">
        <v>29804.871</v>
      </c>
      <c r="O608" s="11">
        <v>-25732.326</v>
      </c>
      <c r="P608" s="11">
        <v>-73.034</v>
      </c>
      <c r="Q608" s="11">
        <v>1437.36</v>
      </c>
      <c r="R608" s="11">
        <v>-19.78</v>
      </c>
      <c r="S608" s="12">
        <v>0.89</v>
      </c>
      <c r="T608" s="14">
        <f t="shared" si="7"/>
        <v>1418.58</v>
      </c>
      <c r="U608" s="14">
        <f t="shared" si="2"/>
        <v>4.81</v>
      </c>
      <c r="V608" s="14">
        <f t="shared" si="3"/>
        <v>0.3245146853</v>
      </c>
      <c r="W608" s="15" t="str">
        <f t="shared" si="4"/>
        <v/>
      </c>
      <c r="X608" s="11">
        <f t="shared" si="5"/>
        <v>1418.838</v>
      </c>
      <c r="Y608" s="14">
        <f t="shared" si="6"/>
        <v>-0.258</v>
      </c>
      <c r="Z608" s="25"/>
      <c r="AA608" s="21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</row>
    <row r="609">
      <c r="A609" s="21"/>
      <c r="B609" s="21"/>
      <c r="C609" s="21"/>
      <c r="D609" s="21"/>
      <c r="E609" s="21"/>
      <c r="F609" s="21" t="s">
        <v>33</v>
      </c>
      <c r="G609" s="21">
        <v>4419.0</v>
      </c>
      <c r="H609" s="26">
        <v>39.064886</v>
      </c>
      <c r="I609" s="26">
        <v>-112.540381</v>
      </c>
      <c r="J609" s="21">
        <v>1446.42</v>
      </c>
      <c r="K609" s="11">
        <v>31886.804</v>
      </c>
      <c r="L609" s="11">
        <v>-25700.809</v>
      </c>
      <c r="M609" s="11">
        <v>-55.12</v>
      </c>
      <c r="N609" s="11">
        <v>31886.784</v>
      </c>
      <c r="O609" s="11">
        <v>-25700.793</v>
      </c>
      <c r="P609" s="11">
        <v>-59.099</v>
      </c>
      <c r="Q609" s="11">
        <v>1461.12</v>
      </c>
      <c r="R609" s="11">
        <v>-19.68</v>
      </c>
      <c r="S609" s="12">
        <v>0.89</v>
      </c>
      <c r="T609" s="14">
        <f t="shared" si="7"/>
        <v>1442.44</v>
      </c>
      <c r="U609" s="14">
        <f t="shared" si="2"/>
        <v>3.98</v>
      </c>
      <c r="V609" s="14">
        <f t="shared" si="3"/>
        <v>-0.7194666667</v>
      </c>
      <c r="W609" s="15" t="str">
        <f t="shared" si="4"/>
        <v/>
      </c>
      <c r="X609" s="11">
        <f t="shared" si="5"/>
        <v>1441.868</v>
      </c>
      <c r="Y609" s="14">
        <f t="shared" si="6"/>
        <v>0.572</v>
      </c>
      <c r="Z609" s="25"/>
      <c r="AA609" s="21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</row>
    <row r="610">
      <c r="A610" s="21"/>
      <c r="B610" s="21"/>
      <c r="C610" s="21"/>
      <c r="D610" s="21"/>
      <c r="E610" s="21"/>
      <c r="F610" s="21" t="s">
        <v>33</v>
      </c>
      <c r="G610" s="21">
        <v>4508.0</v>
      </c>
      <c r="H610" s="26">
        <v>39.079905</v>
      </c>
      <c r="I610" s="26">
        <v>-112.805291</v>
      </c>
      <c r="J610" s="21">
        <v>1384.56</v>
      </c>
      <c r="K610" s="11">
        <v>8952.615</v>
      </c>
      <c r="L610" s="11">
        <v>-24092.645</v>
      </c>
      <c r="M610" s="11">
        <v>-37.376</v>
      </c>
      <c r="N610" s="11">
        <v>8952.61</v>
      </c>
      <c r="O610" s="11">
        <v>-24092.629</v>
      </c>
      <c r="P610" s="11">
        <v>-41.366</v>
      </c>
      <c r="Q610" s="11">
        <v>1399.6</v>
      </c>
      <c r="R610" s="11">
        <v>-20.03</v>
      </c>
      <c r="S610" s="12">
        <v>0.89</v>
      </c>
      <c r="T610" s="14">
        <f t="shared" si="7"/>
        <v>1380.57</v>
      </c>
      <c r="U610" s="14">
        <f t="shared" si="2"/>
        <v>3.99</v>
      </c>
      <c r="V610" s="14">
        <f t="shared" si="3"/>
        <v>-0.7068885781</v>
      </c>
      <c r="W610" s="15" t="str">
        <f t="shared" si="4"/>
        <v/>
      </c>
      <c r="X610" s="11">
        <f t="shared" si="5"/>
        <v>1380.008</v>
      </c>
      <c r="Y610" s="14">
        <f t="shared" si="6"/>
        <v>0.562</v>
      </c>
      <c r="Z610" s="25"/>
      <c r="AA610" s="21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</row>
    <row r="611">
      <c r="A611" s="21"/>
      <c r="B611" s="21"/>
      <c r="C611" s="21"/>
      <c r="D611" s="21"/>
      <c r="E611" s="21"/>
      <c r="F611" s="21" t="s">
        <v>33</v>
      </c>
      <c r="G611" s="21">
        <v>4509.0</v>
      </c>
      <c r="H611" s="26">
        <v>39.080221</v>
      </c>
      <c r="I611" s="26">
        <v>-112.781226</v>
      </c>
      <c r="J611" s="21">
        <v>1385.42</v>
      </c>
      <c r="K611" s="11">
        <v>11035.332</v>
      </c>
      <c r="L611" s="11">
        <v>-24054.901</v>
      </c>
      <c r="M611" s="11">
        <v>-39.632</v>
      </c>
      <c r="N611" s="11">
        <v>11035.323</v>
      </c>
      <c r="O611" s="11">
        <v>-24054.88</v>
      </c>
      <c r="P611" s="11">
        <v>-45.112</v>
      </c>
      <c r="Q611" s="11">
        <v>1398.99</v>
      </c>
      <c r="R611" s="11">
        <v>-20.05</v>
      </c>
      <c r="S611" s="12">
        <v>0.89</v>
      </c>
      <c r="T611" s="14">
        <f t="shared" si="7"/>
        <v>1379.94</v>
      </c>
      <c r="U611" s="14">
        <f t="shared" si="2"/>
        <v>5.48</v>
      </c>
      <c r="V611" s="14">
        <f t="shared" si="3"/>
        <v>1.16724662</v>
      </c>
      <c r="W611" s="15" t="str">
        <f t="shared" si="4"/>
        <v/>
      </c>
      <c r="X611" s="11">
        <f t="shared" si="5"/>
        <v>1380.868</v>
      </c>
      <c r="Y611" s="14">
        <f t="shared" si="6"/>
        <v>-0.928</v>
      </c>
      <c r="Z611" s="25"/>
      <c r="AA611" s="21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</row>
    <row r="612">
      <c r="A612" s="21"/>
      <c r="B612" s="21"/>
      <c r="C612" s="21"/>
      <c r="D612" s="21"/>
      <c r="E612" s="21"/>
      <c r="F612" s="21" t="s">
        <v>33</v>
      </c>
      <c r="G612" s="21">
        <v>4510.0</v>
      </c>
      <c r="H612" s="26">
        <v>39.080738</v>
      </c>
      <c r="I612" s="26">
        <v>-112.758293</v>
      </c>
      <c r="J612" s="21">
        <v>1385.06</v>
      </c>
      <c r="K612" s="11">
        <v>13020.019</v>
      </c>
      <c r="L612" s="11">
        <v>-23994.442</v>
      </c>
      <c r="M612" s="11">
        <v>-43.5</v>
      </c>
      <c r="N612" s="11">
        <v>13020.013</v>
      </c>
      <c r="O612" s="11">
        <v>-23994.431</v>
      </c>
      <c r="P612" s="11">
        <v>-46.51</v>
      </c>
      <c r="Q612" s="11">
        <v>1401.11</v>
      </c>
      <c r="R612" s="11">
        <v>-20.06</v>
      </c>
      <c r="S612" s="12">
        <v>0.89</v>
      </c>
      <c r="T612" s="14">
        <f t="shared" si="7"/>
        <v>1382.05</v>
      </c>
      <c r="U612" s="14">
        <f t="shared" si="2"/>
        <v>3.01</v>
      </c>
      <c r="V612" s="14">
        <f t="shared" si="3"/>
        <v>-1.939541259</v>
      </c>
      <c r="W612" s="15" t="str">
        <f t="shared" si="4"/>
        <v/>
      </c>
      <c r="X612" s="11">
        <f t="shared" si="5"/>
        <v>1380.508</v>
      </c>
      <c r="Y612" s="14">
        <f t="shared" si="6"/>
        <v>1.542</v>
      </c>
      <c r="Z612" s="25"/>
      <c r="AA612" s="21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</row>
    <row r="613">
      <c r="A613" s="21"/>
      <c r="B613" s="21"/>
      <c r="C613" s="21"/>
      <c r="D613" s="21"/>
      <c r="E613" s="21"/>
      <c r="F613" s="21" t="s">
        <v>33</v>
      </c>
      <c r="G613" s="21">
        <v>4511.0</v>
      </c>
      <c r="H613" s="26">
        <v>39.08091</v>
      </c>
      <c r="I613" s="26">
        <v>-112.733175</v>
      </c>
      <c r="J613" s="21">
        <v>1385.77</v>
      </c>
      <c r="K613" s="11">
        <v>15193.854</v>
      </c>
      <c r="L613" s="11">
        <v>-23971.429</v>
      </c>
      <c r="M613" s="11">
        <v>-47.504</v>
      </c>
      <c r="N613" s="11">
        <v>15193.844</v>
      </c>
      <c r="O613" s="11">
        <v>-23971.415</v>
      </c>
      <c r="P613" s="11">
        <v>-51.344</v>
      </c>
      <c r="Q613" s="11">
        <v>1401.0</v>
      </c>
      <c r="R613" s="11">
        <v>-20.07</v>
      </c>
      <c r="S613" s="12">
        <v>0.89</v>
      </c>
      <c r="T613" s="14">
        <f t="shared" si="7"/>
        <v>1381.93</v>
      </c>
      <c r="U613" s="14">
        <f t="shared" si="2"/>
        <v>3.84</v>
      </c>
      <c r="V613" s="14">
        <f t="shared" si="3"/>
        <v>-0.8955599068</v>
      </c>
      <c r="W613" s="15" t="str">
        <f t="shared" si="4"/>
        <v/>
      </c>
      <c r="X613" s="11">
        <f t="shared" si="5"/>
        <v>1381.218</v>
      </c>
      <c r="Y613" s="14">
        <f t="shared" si="6"/>
        <v>0.712</v>
      </c>
      <c r="Z613" s="25"/>
      <c r="AA613" s="21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</row>
    <row r="614">
      <c r="A614" s="21"/>
      <c r="B614" s="21"/>
      <c r="C614" s="21"/>
      <c r="D614" s="21"/>
      <c r="E614" s="21"/>
      <c r="F614" s="21" t="s">
        <v>33</v>
      </c>
      <c r="G614" s="21">
        <v>4512.0</v>
      </c>
      <c r="H614" s="26">
        <v>39.08128</v>
      </c>
      <c r="I614" s="26">
        <v>-112.709108</v>
      </c>
      <c r="J614" s="21">
        <v>1388.21</v>
      </c>
      <c r="K614" s="11">
        <v>17276.672</v>
      </c>
      <c r="L614" s="11">
        <v>-23926.035</v>
      </c>
      <c r="M614" s="11">
        <v>-50.187</v>
      </c>
      <c r="N614" s="11">
        <v>17276.661</v>
      </c>
      <c r="O614" s="11">
        <v>-23926.02</v>
      </c>
      <c r="P614" s="11">
        <v>-54.067</v>
      </c>
      <c r="Q614" s="11">
        <v>1403.39</v>
      </c>
      <c r="R614" s="11">
        <v>-20.06</v>
      </c>
      <c r="S614" s="12">
        <v>0.89</v>
      </c>
      <c r="T614" s="14">
        <f t="shared" si="7"/>
        <v>1384.33</v>
      </c>
      <c r="U614" s="14">
        <f t="shared" si="2"/>
        <v>3.88</v>
      </c>
      <c r="V614" s="14">
        <f t="shared" si="3"/>
        <v>-0.8452475524</v>
      </c>
      <c r="W614" s="15" t="str">
        <f t="shared" si="4"/>
        <v/>
      </c>
      <c r="X614" s="11">
        <f t="shared" si="5"/>
        <v>1383.658</v>
      </c>
      <c r="Y614" s="14">
        <f t="shared" si="6"/>
        <v>0.672</v>
      </c>
      <c r="Z614" s="25"/>
      <c r="AA614" s="21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</row>
    <row r="615">
      <c r="A615" s="21"/>
      <c r="B615" s="21"/>
      <c r="C615" s="21"/>
      <c r="D615" s="21"/>
      <c r="E615" s="21"/>
      <c r="F615" s="21" t="s">
        <v>33</v>
      </c>
      <c r="G615" s="21">
        <v>4513.0</v>
      </c>
      <c r="H615" s="26">
        <v>39.081566</v>
      </c>
      <c r="I615" s="26">
        <v>-112.685116</v>
      </c>
      <c r="J615" s="21">
        <v>1383.67</v>
      </c>
      <c r="K615" s="11">
        <v>19352.978</v>
      </c>
      <c r="L615" s="11">
        <v>-23889.403</v>
      </c>
      <c r="M615" s="11">
        <v>-60.542</v>
      </c>
      <c r="N615" s="11">
        <v>19352.969</v>
      </c>
      <c r="O615" s="11">
        <v>-23889.392</v>
      </c>
      <c r="P615" s="11">
        <v>-63.372</v>
      </c>
      <c r="Q615" s="11">
        <v>1399.89</v>
      </c>
      <c r="R615" s="11">
        <v>-20.05</v>
      </c>
      <c r="S615" s="12">
        <v>0.89</v>
      </c>
      <c r="T615" s="14">
        <f t="shared" si="7"/>
        <v>1380.84</v>
      </c>
      <c r="U615" s="14">
        <f t="shared" si="2"/>
        <v>2.83</v>
      </c>
      <c r="V615" s="14">
        <f t="shared" si="3"/>
        <v>-2.165946853</v>
      </c>
      <c r="W615" s="15" t="str">
        <f t="shared" si="4"/>
        <v/>
      </c>
      <c r="X615" s="11">
        <f t="shared" si="5"/>
        <v>1379.118</v>
      </c>
      <c r="Y615" s="14">
        <f t="shared" si="6"/>
        <v>1.722</v>
      </c>
      <c r="Z615" s="25"/>
      <c r="AA615" s="21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</row>
    <row r="616">
      <c r="A616" s="21"/>
      <c r="B616" s="21"/>
      <c r="C616" s="21"/>
      <c r="D616" s="21"/>
      <c r="E616" s="21"/>
      <c r="F616" s="21" t="s">
        <v>33</v>
      </c>
      <c r="G616" s="21">
        <v>4514.0</v>
      </c>
      <c r="H616" s="26">
        <v>39.082724</v>
      </c>
      <c r="I616" s="26">
        <v>-112.661664</v>
      </c>
      <c r="J616" s="21">
        <v>1386.64</v>
      </c>
      <c r="K616" s="11">
        <v>21382.288</v>
      </c>
      <c r="L616" s="11">
        <v>-23755.55</v>
      </c>
      <c r="M616" s="11">
        <v>-63.541</v>
      </c>
      <c r="N616" s="11">
        <v>21382.276</v>
      </c>
      <c r="O616" s="11">
        <v>-23755.536</v>
      </c>
      <c r="P616" s="11">
        <v>-67.281</v>
      </c>
      <c r="Q616" s="11">
        <v>1401.92</v>
      </c>
      <c r="R616" s="11">
        <v>-20.02</v>
      </c>
      <c r="S616" s="12">
        <v>0.89</v>
      </c>
      <c r="T616" s="14">
        <f t="shared" si="7"/>
        <v>1382.9</v>
      </c>
      <c r="U616" s="14">
        <f t="shared" si="2"/>
        <v>3.74</v>
      </c>
      <c r="V616" s="14">
        <f t="shared" si="3"/>
        <v>-1.021340793</v>
      </c>
      <c r="W616" s="15" t="str">
        <f t="shared" si="4"/>
        <v/>
      </c>
      <c r="X616" s="11">
        <f t="shared" si="5"/>
        <v>1382.088</v>
      </c>
      <c r="Y616" s="14">
        <f t="shared" si="6"/>
        <v>0.812</v>
      </c>
      <c r="Z616" s="25"/>
      <c r="AA616" s="21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</row>
    <row r="617">
      <c r="A617" s="21"/>
      <c r="B617" s="21"/>
      <c r="C617" s="21"/>
      <c r="D617" s="21"/>
      <c r="E617" s="21"/>
      <c r="F617" s="21" t="s">
        <v>33</v>
      </c>
      <c r="G617" s="21">
        <v>4515.0</v>
      </c>
      <c r="H617" s="26">
        <v>39.082338</v>
      </c>
      <c r="I617" s="26">
        <v>-112.636991</v>
      </c>
      <c r="J617" s="21">
        <v>1385.56</v>
      </c>
      <c r="K617" s="11">
        <v>23517.696</v>
      </c>
      <c r="L617" s="11">
        <v>-23792.284</v>
      </c>
      <c r="M617" s="11">
        <v>-72.263</v>
      </c>
      <c r="N617" s="11">
        <v>23517.684</v>
      </c>
      <c r="O617" s="11">
        <v>-23792.272</v>
      </c>
      <c r="P617" s="11">
        <v>-75.613</v>
      </c>
      <c r="Q617" s="11">
        <v>1401.19</v>
      </c>
      <c r="R617" s="11">
        <v>-19.98</v>
      </c>
      <c r="S617" s="12">
        <v>0.89</v>
      </c>
      <c r="T617" s="14">
        <f t="shared" si="7"/>
        <v>1382.21</v>
      </c>
      <c r="U617" s="14">
        <f t="shared" si="2"/>
        <v>3.35</v>
      </c>
      <c r="V617" s="14">
        <f t="shared" si="3"/>
        <v>-1.511886247</v>
      </c>
      <c r="W617" s="15" t="str">
        <f t="shared" si="4"/>
        <v/>
      </c>
      <c r="X617" s="11">
        <f t="shared" si="5"/>
        <v>1381.008</v>
      </c>
      <c r="Y617" s="14">
        <f t="shared" si="6"/>
        <v>1.202</v>
      </c>
      <c r="Z617" s="25"/>
      <c r="AA617" s="21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</row>
    <row r="618">
      <c r="A618" s="21"/>
      <c r="B618" s="21"/>
      <c r="C618" s="21"/>
      <c r="D618" s="21"/>
      <c r="E618" s="21"/>
      <c r="F618" s="21" t="s">
        <v>33</v>
      </c>
      <c r="G618" s="21">
        <v>4516.0</v>
      </c>
      <c r="H618" s="26">
        <v>39.082698</v>
      </c>
      <c r="I618" s="26">
        <v>-112.610662</v>
      </c>
      <c r="J618" s="21">
        <v>1386.82</v>
      </c>
      <c r="K618" s="11">
        <v>25796.177</v>
      </c>
      <c r="L618" s="11">
        <v>-23745.138</v>
      </c>
      <c r="M618" s="11">
        <v>-79.622</v>
      </c>
      <c r="N618" s="11">
        <v>25796.161</v>
      </c>
      <c r="O618" s="11">
        <v>-23745.123</v>
      </c>
      <c r="P618" s="11">
        <v>-83.762</v>
      </c>
      <c r="Q618" s="11">
        <v>1401.61</v>
      </c>
      <c r="R618" s="11">
        <v>-19.93</v>
      </c>
      <c r="S618" s="12">
        <v>0.89</v>
      </c>
      <c r="T618" s="14">
        <f t="shared" si="7"/>
        <v>1382.68</v>
      </c>
      <c r="U618" s="14">
        <f t="shared" si="2"/>
        <v>4.14</v>
      </c>
      <c r="V618" s="14">
        <f t="shared" si="3"/>
        <v>-0.5182172494</v>
      </c>
      <c r="W618" s="15" t="str">
        <f t="shared" si="4"/>
        <v/>
      </c>
      <c r="X618" s="11">
        <f t="shared" si="5"/>
        <v>1382.268</v>
      </c>
      <c r="Y618" s="14">
        <f t="shared" si="6"/>
        <v>0.412</v>
      </c>
      <c r="Z618" s="25"/>
      <c r="AA618" s="21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</row>
    <row r="619">
      <c r="A619" s="21"/>
      <c r="B619" s="21"/>
      <c r="C619" s="21"/>
      <c r="D619" s="21"/>
      <c r="E619" s="21"/>
      <c r="F619" s="21" t="s">
        <v>33</v>
      </c>
      <c r="G619" s="21">
        <v>4517.0</v>
      </c>
      <c r="H619" s="26">
        <v>39.08274</v>
      </c>
      <c r="I619" s="26">
        <v>-112.58919</v>
      </c>
      <c r="J619" s="21">
        <v>1401.01</v>
      </c>
      <c r="K619" s="11">
        <v>27654.474</v>
      </c>
      <c r="L619" s="11">
        <v>-23734.184</v>
      </c>
      <c r="M619" s="11">
        <v>-73.165</v>
      </c>
      <c r="N619" s="11">
        <v>27654.454</v>
      </c>
      <c r="O619" s="11">
        <v>-23734.168</v>
      </c>
      <c r="P619" s="11">
        <v>-77.625</v>
      </c>
      <c r="Q619" s="11">
        <v>1415.41</v>
      </c>
      <c r="R619" s="11">
        <v>-19.86</v>
      </c>
      <c r="S619" s="12">
        <v>0.89</v>
      </c>
      <c r="T619" s="14">
        <f t="shared" si="7"/>
        <v>1396.55</v>
      </c>
      <c r="U619" s="14">
        <f t="shared" si="2"/>
        <v>4.46</v>
      </c>
      <c r="V619" s="14">
        <f t="shared" si="3"/>
        <v>-0.1157184149</v>
      </c>
      <c r="W619" s="15" t="str">
        <f t="shared" si="4"/>
        <v/>
      </c>
      <c r="X619" s="11">
        <f t="shared" si="5"/>
        <v>1396.458</v>
      </c>
      <c r="Y619" s="14">
        <f t="shared" si="6"/>
        <v>0.092</v>
      </c>
      <c r="Z619" s="25"/>
      <c r="AA619" s="21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</row>
    <row r="620">
      <c r="A620" s="21"/>
      <c r="B620" s="21"/>
      <c r="C620" s="21"/>
      <c r="D620" s="21"/>
      <c r="E620" s="21"/>
      <c r="F620" s="21" t="s">
        <v>33</v>
      </c>
      <c r="G620" s="21">
        <v>4518.0</v>
      </c>
      <c r="H620" s="26">
        <v>39.083263</v>
      </c>
      <c r="I620" s="26">
        <v>-112.564848</v>
      </c>
      <c r="J620" s="21">
        <v>1426.73</v>
      </c>
      <c r="K620" s="11">
        <v>29761.002</v>
      </c>
      <c r="L620" s="11">
        <v>-23668.482</v>
      </c>
      <c r="M620" s="11">
        <v>-56.667</v>
      </c>
      <c r="N620" s="11">
        <v>29760.979</v>
      </c>
      <c r="O620" s="11">
        <v>-23668.463</v>
      </c>
      <c r="P620" s="11">
        <v>-61.797</v>
      </c>
      <c r="Q620" s="11">
        <v>1440.37</v>
      </c>
      <c r="R620" s="11">
        <v>-19.77</v>
      </c>
      <c r="S620" s="12">
        <v>0.89</v>
      </c>
      <c r="T620" s="14">
        <f t="shared" si="7"/>
        <v>1421.6</v>
      </c>
      <c r="U620" s="14">
        <f t="shared" si="2"/>
        <v>5.13</v>
      </c>
      <c r="V620" s="14">
        <f t="shared" si="3"/>
        <v>0.7270135198</v>
      </c>
      <c r="W620" s="15" t="str">
        <f t="shared" si="4"/>
        <v/>
      </c>
      <c r="X620" s="11">
        <f t="shared" si="5"/>
        <v>1422.178</v>
      </c>
      <c r="Y620" s="14">
        <f t="shared" si="6"/>
        <v>-0.578</v>
      </c>
      <c r="Z620" s="25"/>
      <c r="AA620" s="21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</row>
    <row r="621">
      <c r="A621" s="21"/>
      <c r="B621" s="21"/>
      <c r="C621" s="21"/>
      <c r="D621" s="21"/>
      <c r="E621" s="21"/>
      <c r="F621" s="21" t="s">
        <v>33</v>
      </c>
      <c r="G621" s="21">
        <v>4519.0</v>
      </c>
      <c r="H621" s="26">
        <v>39.083792</v>
      </c>
      <c r="I621" s="26">
        <v>-112.540362</v>
      </c>
      <c r="J621" s="21">
        <v>1465.42</v>
      </c>
      <c r="K621" s="11">
        <v>31880.036</v>
      </c>
      <c r="L621" s="11">
        <v>-23601.543</v>
      </c>
      <c r="M621" s="11">
        <v>-27.951</v>
      </c>
      <c r="N621" s="11">
        <v>31880.005</v>
      </c>
      <c r="O621" s="11">
        <v>-23601.52</v>
      </c>
      <c r="P621" s="11">
        <v>-34.071</v>
      </c>
      <c r="Q621" s="11">
        <v>1477.96</v>
      </c>
      <c r="R621" s="11">
        <v>-19.66</v>
      </c>
      <c r="S621" s="12">
        <v>0.89</v>
      </c>
      <c r="T621" s="14">
        <f t="shared" si="7"/>
        <v>1459.3</v>
      </c>
      <c r="U621" s="14">
        <f t="shared" si="2"/>
        <v>6.12</v>
      </c>
      <c r="V621" s="14">
        <f t="shared" si="3"/>
        <v>1.972244289</v>
      </c>
      <c r="W621" s="15" t="str">
        <f t="shared" si="4"/>
        <v/>
      </c>
      <c r="X621" s="11">
        <f t="shared" si="5"/>
        <v>1460.868</v>
      </c>
      <c r="Y621" s="14">
        <f t="shared" si="6"/>
        <v>-1.568</v>
      </c>
      <c r="Z621" s="25"/>
      <c r="AA621" s="21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</row>
    <row r="622">
      <c r="A622" s="21"/>
      <c r="B622" s="21"/>
      <c r="C622" s="21"/>
      <c r="D622" s="21"/>
      <c r="E622" s="21"/>
      <c r="F622" s="21" t="s">
        <v>33</v>
      </c>
      <c r="G622" s="21">
        <v>4609.0</v>
      </c>
      <c r="H622" s="26">
        <v>39.098988</v>
      </c>
      <c r="I622" s="26">
        <v>-112.781633</v>
      </c>
      <c r="J622" s="21">
        <v>1381.77</v>
      </c>
      <c r="K622" s="11">
        <v>10997.187</v>
      </c>
      <c r="L622" s="11">
        <v>-21971.04</v>
      </c>
      <c r="M622" s="11">
        <v>-35.678</v>
      </c>
      <c r="N622" s="11">
        <v>10997.18</v>
      </c>
      <c r="O622" s="11">
        <v>-21971.027</v>
      </c>
      <c r="P622" s="11">
        <v>-39.488</v>
      </c>
      <c r="Q622" s="11">
        <v>1397.0</v>
      </c>
      <c r="R622" s="11">
        <v>-20.04</v>
      </c>
      <c r="S622" s="12">
        <v>0.89</v>
      </c>
      <c r="T622" s="14">
        <f t="shared" si="7"/>
        <v>1377.96</v>
      </c>
      <c r="U622" s="14">
        <f t="shared" si="2"/>
        <v>3.81</v>
      </c>
      <c r="V622" s="14">
        <f t="shared" si="3"/>
        <v>-0.9332941725</v>
      </c>
      <c r="W622" s="15" t="str">
        <f t="shared" si="4"/>
        <v/>
      </c>
      <c r="X622" s="11">
        <f t="shared" si="5"/>
        <v>1377.218</v>
      </c>
      <c r="Y622" s="14">
        <f t="shared" si="6"/>
        <v>0.742</v>
      </c>
      <c r="Z622" s="25"/>
      <c r="AA622" s="21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</row>
    <row r="623">
      <c r="A623" s="21"/>
      <c r="B623" s="21"/>
      <c r="C623" s="21"/>
      <c r="D623" s="21"/>
      <c r="E623" s="21"/>
      <c r="F623" s="21" t="s">
        <v>33</v>
      </c>
      <c r="G623" s="21">
        <v>4610.0</v>
      </c>
      <c r="H623" s="26">
        <v>39.099381</v>
      </c>
      <c r="I623" s="26">
        <v>-112.754066</v>
      </c>
      <c r="J623" s="21">
        <v>1385.21</v>
      </c>
      <c r="K623" s="11">
        <v>13382.327</v>
      </c>
      <c r="L623" s="11">
        <v>-21923.698</v>
      </c>
      <c r="M623" s="11">
        <v>-36.626</v>
      </c>
      <c r="N623" s="11">
        <v>13382.317</v>
      </c>
      <c r="O623" s="11">
        <v>-21923.681</v>
      </c>
      <c r="P623" s="11">
        <v>-41.726</v>
      </c>
      <c r="Q623" s="11">
        <v>1399.17</v>
      </c>
      <c r="R623" s="11">
        <v>-20.06</v>
      </c>
      <c r="S623" s="12">
        <v>0.89</v>
      </c>
      <c r="T623" s="14">
        <f t="shared" si="7"/>
        <v>1380.11</v>
      </c>
      <c r="U623" s="14">
        <f t="shared" si="2"/>
        <v>5.1</v>
      </c>
      <c r="V623" s="14">
        <f t="shared" si="3"/>
        <v>0.6892792541</v>
      </c>
      <c r="W623" s="15" t="str">
        <f t="shared" si="4"/>
        <v/>
      </c>
      <c r="X623" s="11">
        <f t="shared" si="5"/>
        <v>1380.658</v>
      </c>
      <c r="Y623" s="14">
        <f t="shared" si="6"/>
        <v>-0.548</v>
      </c>
      <c r="Z623" s="25"/>
      <c r="AA623" s="21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</row>
    <row r="624">
      <c r="A624" s="21"/>
      <c r="B624" s="21"/>
      <c r="C624" s="21"/>
      <c r="D624" s="21"/>
      <c r="E624" s="21"/>
      <c r="F624" s="21" t="s">
        <v>33</v>
      </c>
      <c r="G624" s="21">
        <v>4611.0</v>
      </c>
      <c r="H624" s="26">
        <v>39.099713</v>
      </c>
      <c r="I624" s="26">
        <v>-112.733554</v>
      </c>
      <c r="J624" s="21">
        <v>1385.26</v>
      </c>
      <c r="K624" s="11">
        <v>15157.026</v>
      </c>
      <c r="L624" s="11">
        <v>-21883.597</v>
      </c>
      <c r="M624" s="11">
        <v>-40.403</v>
      </c>
      <c r="N624" s="11">
        <v>15157.017</v>
      </c>
      <c r="O624" s="11">
        <v>-21883.583</v>
      </c>
      <c r="P624" s="11">
        <v>-44.453</v>
      </c>
      <c r="Q624" s="11">
        <v>1400.27</v>
      </c>
      <c r="R624" s="11">
        <v>-20.06</v>
      </c>
      <c r="S624" s="12">
        <v>0.89</v>
      </c>
      <c r="T624" s="14">
        <f t="shared" si="7"/>
        <v>1381.21</v>
      </c>
      <c r="U624" s="14">
        <f t="shared" si="2"/>
        <v>4.05</v>
      </c>
      <c r="V624" s="14">
        <f t="shared" si="3"/>
        <v>-0.6314200466</v>
      </c>
      <c r="W624" s="15" t="str">
        <f t="shared" si="4"/>
        <v/>
      </c>
      <c r="X624" s="11">
        <f t="shared" si="5"/>
        <v>1380.708</v>
      </c>
      <c r="Y624" s="14">
        <f t="shared" si="6"/>
        <v>0.502</v>
      </c>
      <c r="Z624" s="25"/>
      <c r="AA624" s="21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</row>
    <row r="625">
      <c r="A625" s="21"/>
      <c r="B625" s="21"/>
      <c r="C625" s="21"/>
      <c r="D625" s="21"/>
      <c r="E625" s="21"/>
      <c r="F625" s="21" t="s">
        <v>33</v>
      </c>
      <c r="G625" s="21">
        <v>4612.0</v>
      </c>
      <c r="H625" s="26">
        <v>39.100148</v>
      </c>
      <c r="I625" s="26">
        <v>-112.709461</v>
      </c>
      <c r="J625" s="21">
        <v>1386.22</v>
      </c>
      <c r="K625" s="11">
        <v>17241.521</v>
      </c>
      <c r="L625" s="11">
        <v>-21830.984</v>
      </c>
      <c r="M625" s="11">
        <v>-44.548</v>
      </c>
      <c r="N625" s="11">
        <v>17241.508</v>
      </c>
      <c r="O625" s="11">
        <v>-21830.966</v>
      </c>
      <c r="P625" s="11">
        <v>-49.628</v>
      </c>
      <c r="Q625" s="11">
        <v>1400.2</v>
      </c>
      <c r="R625" s="11">
        <v>-20.06</v>
      </c>
      <c r="S625" s="12">
        <v>0.89</v>
      </c>
      <c r="T625" s="14">
        <f t="shared" si="7"/>
        <v>1381.14</v>
      </c>
      <c r="U625" s="14">
        <f t="shared" si="2"/>
        <v>5.08</v>
      </c>
      <c r="V625" s="14">
        <f t="shared" si="3"/>
        <v>0.6641230769</v>
      </c>
      <c r="W625" s="15" t="str">
        <f t="shared" si="4"/>
        <v/>
      </c>
      <c r="X625" s="11">
        <f t="shared" si="5"/>
        <v>1381.668</v>
      </c>
      <c r="Y625" s="14">
        <f t="shared" si="6"/>
        <v>-0.528</v>
      </c>
      <c r="Z625" s="25"/>
      <c r="AA625" s="21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</row>
    <row r="626">
      <c r="A626" s="21"/>
      <c r="B626" s="21"/>
      <c r="C626" s="21"/>
      <c r="D626" s="21"/>
      <c r="E626" s="21"/>
      <c r="F626" s="21" t="s">
        <v>33</v>
      </c>
      <c r="G626" s="21">
        <v>4613.0</v>
      </c>
      <c r="H626" s="26">
        <v>39.100399</v>
      </c>
      <c r="I626" s="26">
        <v>-112.685533</v>
      </c>
      <c r="J626" s="21">
        <v>1380.38</v>
      </c>
      <c r="K626" s="11">
        <v>19311.742</v>
      </c>
      <c r="L626" s="11">
        <v>-21798.258</v>
      </c>
      <c r="M626" s="11">
        <v>-56.199</v>
      </c>
      <c r="N626" s="11">
        <v>19311.73</v>
      </c>
      <c r="O626" s="11">
        <v>-21798.245</v>
      </c>
      <c r="P626" s="11">
        <v>-60.219</v>
      </c>
      <c r="Q626" s="11">
        <v>1395.4</v>
      </c>
      <c r="R626" s="11">
        <v>-20.04</v>
      </c>
      <c r="S626" s="12">
        <v>0.89</v>
      </c>
      <c r="T626" s="14">
        <f t="shared" si="7"/>
        <v>1376.36</v>
      </c>
      <c r="U626" s="14">
        <f t="shared" si="2"/>
        <v>4.02</v>
      </c>
      <c r="V626" s="14">
        <f t="shared" si="3"/>
        <v>-0.6691543124</v>
      </c>
      <c r="W626" s="15" t="str">
        <f t="shared" si="4"/>
        <v/>
      </c>
      <c r="X626" s="11">
        <f t="shared" si="5"/>
        <v>1375.828</v>
      </c>
      <c r="Y626" s="14">
        <f t="shared" si="6"/>
        <v>0.532</v>
      </c>
      <c r="Z626" s="25"/>
      <c r="AA626" s="21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</row>
    <row r="627">
      <c r="A627" s="21"/>
      <c r="B627" s="21"/>
      <c r="C627" s="21"/>
      <c r="D627" s="21"/>
      <c r="E627" s="21"/>
      <c r="F627" s="21" t="s">
        <v>33</v>
      </c>
      <c r="G627" s="21">
        <v>4614.0</v>
      </c>
      <c r="H627" s="26">
        <v>39.100281</v>
      </c>
      <c r="I627" s="26">
        <v>-112.661501</v>
      </c>
      <c r="J627" s="21">
        <v>1384.89</v>
      </c>
      <c r="K627" s="11">
        <v>21391.085</v>
      </c>
      <c r="L627" s="11">
        <v>-21805.97</v>
      </c>
      <c r="M627" s="11">
        <v>-58.34</v>
      </c>
      <c r="N627" s="11">
        <v>21391.069</v>
      </c>
      <c r="O627" s="11">
        <v>-21805.954</v>
      </c>
      <c r="P627" s="11">
        <v>-63.14</v>
      </c>
      <c r="Q627" s="11">
        <v>1399.1</v>
      </c>
      <c r="R627" s="11">
        <v>-20.01</v>
      </c>
      <c r="S627" s="12">
        <v>0.89</v>
      </c>
      <c r="T627" s="14">
        <f t="shared" si="7"/>
        <v>1380.09</v>
      </c>
      <c r="U627" s="14">
        <f t="shared" si="2"/>
        <v>4.8</v>
      </c>
      <c r="V627" s="14">
        <f t="shared" si="3"/>
        <v>0.3119365967</v>
      </c>
      <c r="W627" s="15" t="str">
        <f t="shared" si="4"/>
        <v/>
      </c>
      <c r="X627" s="11">
        <f t="shared" si="5"/>
        <v>1380.338</v>
      </c>
      <c r="Y627" s="14">
        <f t="shared" si="6"/>
        <v>-0.248</v>
      </c>
      <c r="Z627" s="25"/>
      <c r="AA627" s="21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</row>
    <row r="628">
      <c r="A628" s="21"/>
      <c r="B628" s="21"/>
      <c r="C628" s="21"/>
      <c r="D628" s="21"/>
      <c r="E628" s="21"/>
      <c r="F628" s="21" t="s">
        <v>33</v>
      </c>
      <c r="G628" s="21">
        <v>4615.0</v>
      </c>
      <c r="H628" s="26">
        <v>39.101066</v>
      </c>
      <c r="I628" s="26">
        <v>-112.637274</v>
      </c>
      <c r="J628" s="21">
        <v>1388.93</v>
      </c>
      <c r="K628" s="11">
        <v>23487.004</v>
      </c>
      <c r="L628" s="11">
        <v>-21712.808</v>
      </c>
      <c r="M628" s="11">
        <v>-61.344</v>
      </c>
      <c r="N628" s="11">
        <v>23486.989</v>
      </c>
      <c r="O628" s="11">
        <v>-21712.794</v>
      </c>
      <c r="P628" s="11">
        <v>-65.534</v>
      </c>
      <c r="Q628" s="11">
        <v>1403.71</v>
      </c>
      <c r="R628" s="11">
        <v>-19.97</v>
      </c>
      <c r="S628" s="12">
        <v>0.89</v>
      </c>
      <c r="T628" s="14">
        <f t="shared" si="7"/>
        <v>1384.74</v>
      </c>
      <c r="U628" s="14">
        <f t="shared" si="2"/>
        <v>4.19</v>
      </c>
      <c r="V628" s="14">
        <f t="shared" si="3"/>
        <v>-0.4553268065</v>
      </c>
      <c r="W628" s="15" t="str">
        <f t="shared" si="4"/>
        <v/>
      </c>
      <c r="X628" s="11">
        <f t="shared" si="5"/>
        <v>1384.378</v>
      </c>
      <c r="Y628" s="14">
        <f t="shared" si="6"/>
        <v>0.362</v>
      </c>
      <c r="Z628" s="25"/>
      <c r="AA628" s="21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</row>
    <row r="629">
      <c r="A629" s="21"/>
      <c r="B629" s="21"/>
      <c r="C629" s="21"/>
      <c r="D629" s="21"/>
      <c r="E629" s="21"/>
      <c r="F629" s="21" t="s">
        <v>33</v>
      </c>
      <c r="G629" s="21">
        <v>4616.0</v>
      </c>
      <c r="H629" s="26">
        <v>39.103595</v>
      </c>
      <c r="I629" s="26">
        <v>-112.610791</v>
      </c>
      <c r="J629" s="21">
        <v>1387.84</v>
      </c>
      <c r="K629" s="11">
        <v>25777.409</v>
      </c>
      <c r="L629" s="11">
        <v>-21424.772</v>
      </c>
      <c r="M629" s="11">
        <v>-70.289</v>
      </c>
      <c r="N629" s="11">
        <v>25777.391</v>
      </c>
      <c r="O629" s="11">
        <v>-21424.758</v>
      </c>
      <c r="P629" s="11">
        <v>-74.689</v>
      </c>
      <c r="Q629" s="11">
        <v>1402.35</v>
      </c>
      <c r="R629" s="11">
        <v>-19.91</v>
      </c>
      <c r="S629" s="12">
        <v>0.89</v>
      </c>
      <c r="T629" s="14">
        <f t="shared" si="7"/>
        <v>1383.44</v>
      </c>
      <c r="U629" s="14">
        <f t="shared" si="2"/>
        <v>4.4</v>
      </c>
      <c r="V629" s="14">
        <f t="shared" si="3"/>
        <v>-0.1911869464</v>
      </c>
      <c r="W629" s="15" t="str">
        <f t="shared" si="4"/>
        <v/>
      </c>
      <c r="X629" s="11">
        <f t="shared" si="5"/>
        <v>1383.288</v>
      </c>
      <c r="Y629" s="14">
        <f t="shared" si="6"/>
        <v>0.152</v>
      </c>
      <c r="Z629" s="25"/>
      <c r="AA629" s="21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</row>
    <row r="630">
      <c r="A630" s="21"/>
      <c r="B630" s="21"/>
      <c r="C630" s="21"/>
      <c r="D630" s="21"/>
      <c r="E630" s="21"/>
      <c r="F630" s="21" t="s">
        <v>33</v>
      </c>
      <c r="G630" s="21">
        <v>4617.0</v>
      </c>
      <c r="H630" s="26">
        <v>39.1019</v>
      </c>
      <c r="I630" s="26">
        <v>-112.589656</v>
      </c>
      <c r="J630" s="21">
        <v>1408.42</v>
      </c>
      <c r="K630" s="11">
        <v>27606.706</v>
      </c>
      <c r="L630" s="11">
        <v>-21606.82</v>
      </c>
      <c r="M630" s="11">
        <v>-57.968</v>
      </c>
      <c r="N630" s="11">
        <v>27606.687</v>
      </c>
      <c r="O630" s="11">
        <v>-21606.805</v>
      </c>
      <c r="P630" s="11">
        <v>-62.348</v>
      </c>
      <c r="Q630" s="11">
        <v>1422.88</v>
      </c>
      <c r="R630" s="11">
        <v>-19.84</v>
      </c>
      <c r="S630" s="12">
        <v>0.89</v>
      </c>
      <c r="T630" s="14">
        <f t="shared" si="7"/>
        <v>1404.04</v>
      </c>
      <c r="U630" s="14">
        <f t="shared" si="2"/>
        <v>4.38</v>
      </c>
      <c r="V630" s="14">
        <f t="shared" si="3"/>
        <v>-0.2163431235</v>
      </c>
      <c r="W630" s="15" t="str">
        <f t="shared" si="4"/>
        <v/>
      </c>
      <c r="X630" s="11">
        <f t="shared" si="5"/>
        <v>1403.868</v>
      </c>
      <c r="Y630" s="14">
        <f t="shared" si="6"/>
        <v>0.172</v>
      </c>
      <c r="Z630" s="25"/>
      <c r="AA630" s="21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</row>
    <row r="631">
      <c r="A631" s="21"/>
      <c r="B631" s="21"/>
      <c r="C631" s="21"/>
      <c r="D631" s="21"/>
      <c r="E631" s="21"/>
      <c r="F631" s="21" t="s">
        <v>33</v>
      </c>
      <c r="G631" s="21">
        <v>4618.0</v>
      </c>
      <c r="H631" s="26">
        <v>39.101928</v>
      </c>
      <c r="I631" s="26">
        <v>-112.565594</v>
      </c>
      <c r="J631" s="21">
        <v>1423.32</v>
      </c>
      <c r="K631" s="11">
        <v>29688.599</v>
      </c>
      <c r="L631" s="11">
        <v>-21596.142</v>
      </c>
      <c r="M631" s="11">
        <v>-52.368</v>
      </c>
      <c r="N631" s="11">
        <v>29688.578</v>
      </c>
      <c r="O631" s="11">
        <v>-21596.127</v>
      </c>
      <c r="P631" s="11">
        <v>-56.748</v>
      </c>
      <c r="Q631" s="11">
        <v>1437.69</v>
      </c>
      <c r="R631" s="11">
        <v>-19.75</v>
      </c>
      <c r="S631" s="12">
        <v>0.89</v>
      </c>
      <c r="T631" s="14">
        <f t="shared" si="7"/>
        <v>1418.94</v>
      </c>
      <c r="U631" s="14">
        <f t="shared" si="2"/>
        <v>4.38</v>
      </c>
      <c r="V631" s="14">
        <f t="shared" si="3"/>
        <v>-0.2163431235</v>
      </c>
      <c r="W631" s="15" t="str">
        <f t="shared" si="4"/>
        <v/>
      </c>
      <c r="X631" s="11">
        <f t="shared" si="5"/>
        <v>1418.768</v>
      </c>
      <c r="Y631" s="14">
        <f t="shared" si="6"/>
        <v>0.172</v>
      </c>
      <c r="Z631" s="25"/>
      <c r="AA631" s="21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</row>
    <row r="632">
      <c r="A632" s="21"/>
      <c r="B632" s="21"/>
      <c r="C632" s="21"/>
      <c r="D632" s="21"/>
      <c r="E632" s="21"/>
      <c r="F632" s="21" t="s">
        <v>33</v>
      </c>
      <c r="G632" s="21">
        <v>4710.0</v>
      </c>
      <c r="H632" s="26">
        <v>39.117995</v>
      </c>
      <c r="I632" s="26">
        <v>-112.758164</v>
      </c>
      <c r="J632" s="21">
        <v>1382.14</v>
      </c>
      <c r="K632" s="11">
        <v>13024.321</v>
      </c>
      <c r="L632" s="11">
        <v>-19857.37</v>
      </c>
      <c r="M632" s="11">
        <v>-32.172</v>
      </c>
      <c r="N632" s="11">
        <v>13024.312</v>
      </c>
      <c r="O632" s="11">
        <v>-19857.355</v>
      </c>
      <c r="P632" s="11">
        <v>-36.902</v>
      </c>
      <c r="Q632" s="11">
        <v>1396.46</v>
      </c>
      <c r="R632" s="11">
        <v>-20.05</v>
      </c>
      <c r="S632" s="12">
        <v>0.89</v>
      </c>
      <c r="T632" s="14">
        <f t="shared" si="7"/>
        <v>1377.41</v>
      </c>
      <c r="U632" s="14">
        <f t="shared" si="2"/>
        <v>4.73</v>
      </c>
      <c r="V632" s="14">
        <f t="shared" si="3"/>
        <v>0.2238899767</v>
      </c>
      <c r="W632" s="15" t="str">
        <f t="shared" si="4"/>
        <v/>
      </c>
      <c r="X632" s="11">
        <f t="shared" si="5"/>
        <v>1377.588</v>
      </c>
      <c r="Y632" s="14">
        <f t="shared" si="6"/>
        <v>-0.178</v>
      </c>
      <c r="Z632" s="25"/>
      <c r="AA632" s="21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</row>
    <row r="633">
      <c r="A633" s="21"/>
      <c r="B633" s="21"/>
      <c r="C633" s="21"/>
      <c r="D633" s="21"/>
      <c r="E633" s="21"/>
      <c r="F633" s="21" t="s">
        <v>33</v>
      </c>
      <c r="G633" s="21">
        <v>4711.0</v>
      </c>
      <c r="H633" s="26">
        <v>39.118394</v>
      </c>
      <c r="I633" s="26">
        <v>-112.734002</v>
      </c>
      <c r="J633" s="21">
        <v>1382.63</v>
      </c>
      <c r="K633" s="11">
        <v>15114.267</v>
      </c>
      <c r="L633" s="11">
        <v>-19809.308</v>
      </c>
      <c r="M633" s="11">
        <v>-36.135</v>
      </c>
      <c r="N633" s="11">
        <v>15114.258</v>
      </c>
      <c r="O633" s="11">
        <v>-19809.296</v>
      </c>
      <c r="P633" s="11">
        <v>-40.125</v>
      </c>
      <c r="Q633" s="11">
        <v>1397.7</v>
      </c>
      <c r="R633" s="11">
        <v>-20.06</v>
      </c>
      <c r="S633" s="12">
        <v>0.89</v>
      </c>
      <c r="T633" s="14">
        <f t="shared" si="7"/>
        <v>1378.64</v>
      </c>
      <c r="U633" s="14">
        <f t="shared" si="2"/>
        <v>3.99</v>
      </c>
      <c r="V633" s="14">
        <f t="shared" si="3"/>
        <v>-0.7068885781</v>
      </c>
      <c r="W633" s="15" t="str">
        <f t="shared" si="4"/>
        <v/>
      </c>
      <c r="X633" s="11">
        <f t="shared" si="5"/>
        <v>1378.078</v>
      </c>
      <c r="Y633" s="14">
        <f t="shared" si="6"/>
        <v>0.562</v>
      </c>
      <c r="Z633" s="25"/>
      <c r="AA633" s="21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</row>
    <row r="634">
      <c r="A634" s="21"/>
      <c r="B634" s="21"/>
      <c r="C634" s="21"/>
      <c r="D634" s="21"/>
      <c r="E634" s="21"/>
      <c r="F634" s="21" t="s">
        <v>33</v>
      </c>
      <c r="G634" s="21">
        <v>4712.0</v>
      </c>
      <c r="H634" s="26">
        <v>39.118692</v>
      </c>
      <c r="I634" s="26">
        <v>-112.710366</v>
      </c>
      <c r="J634" s="21">
        <v>1382.54</v>
      </c>
      <c r="K634" s="11">
        <v>17158.712</v>
      </c>
      <c r="L634" s="11">
        <v>-19772.002</v>
      </c>
      <c r="M634" s="11">
        <v>-41.273</v>
      </c>
      <c r="N634" s="11">
        <v>17158.701</v>
      </c>
      <c r="O634" s="11">
        <v>-19771.989</v>
      </c>
      <c r="P634" s="11">
        <v>-45.363</v>
      </c>
      <c r="Q634" s="11">
        <v>1397.5</v>
      </c>
      <c r="R634" s="11">
        <v>-20.05</v>
      </c>
      <c r="S634" s="12">
        <v>0.89</v>
      </c>
      <c r="T634" s="14">
        <f t="shared" si="7"/>
        <v>1378.45</v>
      </c>
      <c r="U634" s="14">
        <f t="shared" si="2"/>
        <v>4.09</v>
      </c>
      <c r="V634" s="14">
        <f t="shared" si="3"/>
        <v>-0.5811076923</v>
      </c>
      <c r="W634" s="15" t="str">
        <f t="shared" si="4"/>
        <v/>
      </c>
      <c r="X634" s="11">
        <f t="shared" si="5"/>
        <v>1377.988</v>
      </c>
      <c r="Y634" s="14">
        <f t="shared" si="6"/>
        <v>0.462</v>
      </c>
      <c r="Z634" s="25"/>
      <c r="AA634" s="21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</row>
    <row r="635">
      <c r="A635" s="21"/>
      <c r="B635" s="21"/>
      <c r="C635" s="21"/>
      <c r="D635" s="21"/>
      <c r="E635" s="21"/>
      <c r="F635" s="21" t="s">
        <v>33</v>
      </c>
      <c r="G635" s="21">
        <v>4713.0</v>
      </c>
      <c r="H635" s="26">
        <v>39.119144</v>
      </c>
      <c r="I635" s="26">
        <v>-112.685892</v>
      </c>
      <c r="J635" s="21">
        <v>1377.4</v>
      </c>
      <c r="K635" s="11">
        <v>19275.565</v>
      </c>
      <c r="L635" s="11">
        <v>-19716.867</v>
      </c>
      <c r="M635" s="11">
        <v>-52.279</v>
      </c>
      <c r="N635" s="11">
        <v>19275.555</v>
      </c>
      <c r="O635" s="11">
        <v>-19716.857</v>
      </c>
      <c r="P635" s="11">
        <v>-55.409</v>
      </c>
      <c r="Q635" s="11">
        <v>1393.3</v>
      </c>
      <c r="R635" s="11">
        <v>-20.03</v>
      </c>
      <c r="S635" s="12">
        <v>0.89</v>
      </c>
      <c r="T635" s="14">
        <f t="shared" si="7"/>
        <v>1374.27</v>
      </c>
      <c r="U635" s="14">
        <f t="shared" si="2"/>
        <v>3.13</v>
      </c>
      <c r="V635" s="14">
        <f t="shared" si="3"/>
        <v>-1.788604196</v>
      </c>
      <c r="W635" s="15" t="str">
        <f t="shared" si="4"/>
        <v/>
      </c>
      <c r="X635" s="11">
        <f t="shared" si="5"/>
        <v>1372.848</v>
      </c>
      <c r="Y635" s="14">
        <f t="shared" si="6"/>
        <v>1.422</v>
      </c>
      <c r="Z635" s="25"/>
      <c r="AA635" s="21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</row>
    <row r="636">
      <c r="A636" s="21"/>
      <c r="B636" s="21"/>
      <c r="C636" s="21"/>
      <c r="D636" s="21"/>
      <c r="E636" s="21"/>
      <c r="F636" s="21" t="s">
        <v>33</v>
      </c>
      <c r="G636" s="21">
        <v>4714.0</v>
      </c>
      <c r="H636" s="26">
        <v>39.119503</v>
      </c>
      <c r="I636" s="26">
        <v>-112.661922</v>
      </c>
      <c r="J636" s="21">
        <v>1379.63</v>
      </c>
      <c r="K636" s="11">
        <v>21348.841</v>
      </c>
      <c r="L636" s="11">
        <v>-19671.628</v>
      </c>
      <c r="M636" s="11">
        <v>-56.501</v>
      </c>
      <c r="N636" s="11">
        <v>21348.835</v>
      </c>
      <c r="O636" s="11">
        <v>-19671.623</v>
      </c>
      <c r="P636" s="11">
        <v>-58.321</v>
      </c>
      <c r="Q636" s="11">
        <v>1396.81</v>
      </c>
      <c r="R636" s="11">
        <v>-20.0</v>
      </c>
      <c r="S636" s="12">
        <v>0.89</v>
      </c>
      <c r="T636" s="14">
        <f t="shared" si="7"/>
        <v>1377.81</v>
      </c>
      <c r="U636" s="14">
        <f t="shared" si="2"/>
        <v>1.82</v>
      </c>
      <c r="V636" s="14">
        <f t="shared" si="3"/>
        <v>-3.4363338</v>
      </c>
      <c r="W636" s="15" t="str">
        <f t="shared" si="4"/>
        <v>✔</v>
      </c>
      <c r="X636" s="11">
        <f t="shared" si="5"/>
        <v>1375.078</v>
      </c>
      <c r="Y636" s="14">
        <f t="shared" si="6"/>
        <v>2.732</v>
      </c>
      <c r="Z636" s="25"/>
      <c r="AA636" s="21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</row>
    <row r="637">
      <c r="A637" s="21"/>
      <c r="B637" s="21"/>
      <c r="C637" s="21"/>
      <c r="D637" s="21"/>
      <c r="E637" s="21"/>
      <c r="F637" s="21" t="s">
        <v>33</v>
      </c>
      <c r="G637" s="21">
        <v>4716.0</v>
      </c>
      <c r="H637" s="26">
        <v>39.120152</v>
      </c>
      <c r="I637" s="26">
        <v>-112.613899</v>
      </c>
      <c r="J637" s="21">
        <v>1383.83</v>
      </c>
      <c r="K637" s="11">
        <v>25502.528</v>
      </c>
      <c r="L637" s="11">
        <v>-19587.141</v>
      </c>
      <c r="M637" s="11">
        <v>-67.273</v>
      </c>
      <c r="N637" s="11">
        <v>25502.511</v>
      </c>
      <c r="O637" s="11">
        <v>-19587.128</v>
      </c>
      <c r="P637" s="11">
        <v>-71.473</v>
      </c>
      <c r="Q637" s="11">
        <v>1398.53</v>
      </c>
      <c r="R637" s="11">
        <v>-19.9</v>
      </c>
      <c r="S637" s="12">
        <v>0.89</v>
      </c>
      <c r="T637" s="14">
        <f t="shared" si="7"/>
        <v>1379.63</v>
      </c>
      <c r="U637" s="14">
        <f t="shared" si="2"/>
        <v>4.2</v>
      </c>
      <c r="V637" s="14">
        <f t="shared" si="3"/>
        <v>-0.4427487179</v>
      </c>
      <c r="W637" s="15" t="str">
        <f t="shared" si="4"/>
        <v/>
      </c>
      <c r="X637" s="11">
        <f t="shared" si="5"/>
        <v>1379.278</v>
      </c>
      <c r="Y637" s="14">
        <f t="shared" si="6"/>
        <v>0.352</v>
      </c>
      <c r="Z637" s="25"/>
      <c r="AA637" s="21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</row>
    <row r="638">
      <c r="A638" s="21"/>
      <c r="B638" s="21"/>
      <c r="C638" s="21"/>
      <c r="D638" s="21"/>
      <c r="E638" s="21"/>
      <c r="F638" s="21" t="s">
        <v>33</v>
      </c>
      <c r="G638" s="21">
        <v>4717.0</v>
      </c>
      <c r="H638" s="26">
        <v>39.120455</v>
      </c>
      <c r="I638" s="26">
        <v>-112.589789</v>
      </c>
      <c r="J638" s="21">
        <v>1412.97</v>
      </c>
      <c r="K638" s="11">
        <v>27587.983</v>
      </c>
      <c r="L638" s="11">
        <v>-19546.51</v>
      </c>
      <c r="M638" s="11">
        <v>-46.674</v>
      </c>
      <c r="N638" s="11">
        <v>27587.964</v>
      </c>
      <c r="O638" s="11">
        <v>-19546.497</v>
      </c>
      <c r="P638" s="11">
        <v>-51.004</v>
      </c>
      <c r="Q638" s="11">
        <v>1427.46</v>
      </c>
      <c r="R638" s="11">
        <v>-19.82</v>
      </c>
      <c r="S638" s="12">
        <v>0.89</v>
      </c>
      <c r="T638" s="14">
        <f t="shared" si="7"/>
        <v>1408.64</v>
      </c>
      <c r="U638" s="14">
        <f t="shared" si="2"/>
        <v>4.33</v>
      </c>
      <c r="V638" s="14">
        <f t="shared" si="3"/>
        <v>-0.2792335664</v>
      </c>
      <c r="W638" s="15" t="str">
        <f t="shared" si="4"/>
        <v/>
      </c>
      <c r="X638" s="11">
        <f t="shared" si="5"/>
        <v>1408.418</v>
      </c>
      <c r="Y638" s="14">
        <f t="shared" si="6"/>
        <v>0.222</v>
      </c>
      <c r="Z638" s="25"/>
      <c r="AA638" s="21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</row>
    <row r="639">
      <c r="A639" s="21"/>
      <c r="B639" s="21"/>
      <c r="C639" s="21"/>
      <c r="D639" s="21"/>
      <c r="E639" s="21"/>
      <c r="F639" s="21" t="s">
        <v>33</v>
      </c>
      <c r="G639" s="21">
        <v>4811.0</v>
      </c>
      <c r="H639" s="26">
        <v>39.137121</v>
      </c>
      <c r="I639" s="26">
        <v>-112.734543</v>
      </c>
      <c r="J639" s="21">
        <v>1379.62</v>
      </c>
      <c r="K639" s="11">
        <v>15063.474</v>
      </c>
      <c r="L639" s="11">
        <v>-17729.919</v>
      </c>
      <c r="M639" s="11">
        <v>-32.89</v>
      </c>
      <c r="N639" s="11">
        <v>15063.466</v>
      </c>
      <c r="O639" s="11">
        <v>-17729.909</v>
      </c>
      <c r="P639" s="11">
        <v>-36.26</v>
      </c>
      <c r="Q639" s="11">
        <v>1395.3</v>
      </c>
      <c r="R639" s="11">
        <v>-20.05</v>
      </c>
      <c r="S639" s="12">
        <v>0.89</v>
      </c>
      <c r="T639" s="14">
        <f t="shared" si="7"/>
        <v>1376.25</v>
      </c>
      <c r="U639" s="14">
        <f t="shared" si="2"/>
        <v>3.37</v>
      </c>
      <c r="V639" s="14">
        <f t="shared" si="3"/>
        <v>-1.48673007</v>
      </c>
      <c r="W639" s="15" t="str">
        <f t="shared" si="4"/>
        <v/>
      </c>
      <c r="X639" s="11">
        <f t="shared" si="5"/>
        <v>1375.068</v>
      </c>
      <c r="Y639" s="14">
        <f t="shared" si="6"/>
        <v>1.182</v>
      </c>
      <c r="Z639" s="25"/>
      <c r="AA639" s="21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</row>
    <row r="640">
      <c r="A640" s="21"/>
      <c r="B640" s="21"/>
      <c r="C640" s="21"/>
      <c r="D640" s="21"/>
      <c r="E640" s="21"/>
      <c r="F640" s="21" t="s">
        <v>33</v>
      </c>
      <c r="G640" s="21">
        <v>4812.0</v>
      </c>
      <c r="H640" s="26">
        <v>39.137495</v>
      </c>
      <c r="I640" s="26">
        <v>-112.710532</v>
      </c>
      <c r="J640" s="21">
        <v>1380.34</v>
      </c>
      <c r="K640" s="11">
        <v>17139.789</v>
      </c>
      <c r="L640" s="11">
        <v>-17684.118</v>
      </c>
      <c r="M640" s="11">
        <v>-37.277</v>
      </c>
      <c r="N640" s="11">
        <v>17139.78</v>
      </c>
      <c r="O640" s="11">
        <v>-17684.108</v>
      </c>
      <c r="P640" s="11">
        <v>-40.576</v>
      </c>
      <c r="Q640" s="11">
        <v>1396.08</v>
      </c>
      <c r="R640" s="11">
        <v>-20.04</v>
      </c>
      <c r="S640" s="12">
        <v>0.89</v>
      </c>
      <c r="T640" s="14">
        <f t="shared" si="7"/>
        <v>1377.04</v>
      </c>
      <c r="U640" s="14">
        <f t="shared" si="2"/>
        <v>3.3</v>
      </c>
      <c r="V640" s="14">
        <f t="shared" si="3"/>
        <v>-1.57477669</v>
      </c>
      <c r="W640" s="15" t="str">
        <f t="shared" si="4"/>
        <v/>
      </c>
      <c r="X640" s="11">
        <f t="shared" si="5"/>
        <v>1375.788</v>
      </c>
      <c r="Y640" s="14">
        <f t="shared" si="6"/>
        <v>1.252</v>
      </c>
      <c r="Z640" s="25"/>
      <c r="AA640" s="21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</row>
    <row r="641">
      <c r="A641" s="21"/>
      <c r="B641" s="21"/>
      <c r="C641" s="21"/>
      <c r="D641" s="21"/>
      <c r="E641" s="21"/>
      <c r="F641" s="21" t="s">
        <v>33</v>
      </c>
      <c r="G641" s="21">
        <v>4813.0</v>
      </c>
      <c r="H641" s="26">
        <v>39.137884</v>
      </c>
      <c r="I641" s="26">
        <v>-112.686428</v>
      </c>
      <c r="J641" s="21">
        <v>1376.46</v>
      </c>
      <c r="K641" s="11">
        <v>19224.103</v>
      </c>
      <c r="L641" s="11">
        <v>-17636.067</v>
      </c>
      <c r="M641" s="11">
        <v>-46.956</v>
      </c>
      <c r="N641" s="11">
        <v>19224.094</v>
      </c>
      <c r="O641" s="11">
        <v>-17636.059</v>
      </c>
      <c r="P641" s="11">
        <v>-49.936</v>
      </c>
      <c r="Q641" s="11">
        <v>1392.5</v>
      </c>
      <c r="R641" s="11">
        <v>-20.02</v>
      </c>
      <c r="S641" s="12">
        <v>0.89</v>
      </c>
      <c r="T641" s="14">
        <f t="shared" si="7"/>
        <v>1373.48</v>
      </c>
      <c r="U641" s="14">
        <f t="shared" si="2"/>
        <v>2.98</v>
      </c>
      <c r="V641" s="14">
        <f t="shared" si="3"/>
        <v>-1.977275524</v>
      </c>
      <c r="W641" s="15" t="str">
        <f t="shared" si="4"/>
        <v/>
      </c>
      <c r="X641" s="11">
        <f t="shared" si="5"/>
        <v>1371.908</v>
      </c>
      <c r="Y641" s="14">
        <f t="shared" si="6"/>
        <v>1.572</v>
      </c>
      <c r="Z641" s="25"/>
      <c r="AA641" s="21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</row>
    <row r="642">
      <c r="A642" s="21"/>
      <c r="B642" s="21"/>
      <c r="C642" s="21"/>
      <c r="D642" s="21"/>
      <c r="E642" s="21"/>
      <c r="F642" s="21" t="s">
        <v>33</v>
      </c>
      <c r="G642" s="21">
        <v>4814.0</v>
      </c>
      <c r="H642" s="26">
        <v>39.138234</v>
      </c>
      <c r="I642" s="26">
        <v>-112.662391</v>
      </c>
      <c r="J642" s="21">
        <v>1378.41</v>
      </c>
      <c r="K642" s="11">
        <v>21302.626</v>
      </c>
      <c r="L642" s="11">
        <v>-17591.824</v>
      </c>
      <c r="M642" s="11">
        <v>-51.476</v>
      </c>
      <c r="N642" s="11">
        <v>21302.617</v>
      </c>
      <c r="O642" s="11">
        <v>-17591.816</v>
      </c>
      <c r="P642" s="11">
        <v>-54.276</v>
      </c>
      <c r="Q642" s="11">
        <v>1394.6</v>
      </c>
      <c r="R642" s="11">
        <v>-19.99</v>
      </c>
      <c r="S642" s="12">
        <v>0.89</v>
      </c>
      <c r="T642" s="14">
        <f t="shared" si="7"/>
        <v>1375.61</v>
      </c>
      <c r="U642" s="14">
        <f t="shared" si="2"/>
        <v>2.8</v>
      </c>
      <c r="V642" s="14">
        <f t="shared" si="3"/>
        <v>-2.203681119</v>
      </c>
      <c r="W642" s="15" t="str">
        <f t="shared" si="4"/>
        <v/>
      </c>
      <c r="X642" s="11">
        <f t="shared" si="5"/>
        <v>1373.858</v>
      </c>
      <c r="Y642" s="14">
        <f t="shared" si="6"/>
        <v>1.752</v>
      </c>
      <c r="Z642" s="25"/>
      <c r="AA642" s="21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</row>
    <row r="643">
      <c r="A643" s="21"/>
      <c r="B643" s="21"/>
      <c r="C643" s="21"/>
      <c r="D643" s="21"/>
      <c r="E643" s="21"/>
      <c r="F643" s="21" t="s">
        <v>33</v>
      </c>
      <c r="G643" s="21">
        <v>4815.0</v>
      </c>
      <c r="H643" s="26">
        <v>39.137661</v>
      </c>
      <c r="I643" s="26">
        <v>-112.629665</v>
      </c>
      <c r="J643" s="21">
        <v>1381.0</v>
      </c>
      <c r="K643" s="11">
        <v>24132.824</v>
      </c>
      <c r="L643" s="11">
        <v>-17647.24</v>
      </c>
      <c r="M643" s="11">
        <v>-59.105</v>
      </c>
      <c r="N643" s="11">
        <v>24132.812</v>
      </c>
      <c r="O643" s="11">
        <v>-17647.231</v>
      </c>
      <c r="P643" s="11">
        <v>-62.125</v>
      </c>
      <c r="Q643" s="11">
        <v>1396.9</v>
      </c>
      <c r="R643" s="11">
        <v>-19.92</v>
      </c>
      <c r="S643" s="12">
        <v>0.89</v>
      </c>
      <c r="T643" s="14">
        <f t="shared" si="7"/>
        <v>1377.98</v>
      </c>
      <c r="U643" s="14">
        <f t="shared" si="2"/>
        <v>3.02</v>
      </c>
      <c r="V643" s="14">
        <f t="shared" si="3"/>
        <v>-1.92696317</v>
      </c>
      <c r="W643" s="15" t="str">
        <f t="shared" si="4"/>
        <v/>
      </c>
      <c r="X643" s="11">
        <f t="shared" si="5"/>
        <v>1376.448</v>
      </c>
      <c r="Y643" s="14">
        <f t="shared" si="6"/>
        <v>1.532</v>
      </c>
      <c r="Z643" s="25"/>
      <c r="AA643" s="21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</row>
    <row r="644">
      <c r="A644" s="7"/>
      <c r="B644" s="7"/>
      <c r="C644" s="7"/>
      <c r="D644" s="7"/>
      <c r="E644" s="7"/>
      <c r="F644" s="7" t="s">
        <v>31</v>
      </c>
      <c r="G644" s="8">
        <v>5401.0</v>
      </c>
      <c r="H644" s="9">
        <v>39.459809166666666</v>
      </c>
      <c r="I644" s="9">
        <v>-113.00182833333334</v>
      </c>
      <c r="J644" s="13">
        <v>1595.61</v>
      </c>
      <c r="K644" s="10">
        <v>-8014.068</v>
      </c>
      <c r="L644" s="10">
        <v>18093.243</v>
      </c>
      <c r="M644" s="10">
        <v>194.812</v>
      </c>
      <c r="N644" s="10">
        <v>-8014.063</v>
      </c>
      <c r="O644" s="10">
        <v>18093.231</v>
      </c>
      <c r="P644" s="10">
        <v>190.462</v>
      </c>
      <c r="Q644" s="13">
        <v>1609.77</v>
      </c>
      <c r="R644" s="13">
        <v>-19.507</v>
      </c>
      <c r="S644" s="12">
        <v>0.89</v>
      </c>
      <c r="T644" s="13">
        <f t="shared" ref="T644:T710" si="8">Q644+R644+S644</f>
        <v>1591.153</v>
      </c>
      <c r="U644" s="14">
        <f t="shared" si="2"/>
        <v>4.457</v>
      </c>
      <c r="V644" s="14">
        <f t="shared" si="3"/>
        <v>-0.1194918415</v>
      </c>
      <c r="W644" s="15" t="str">
        <f t="shared" si="4"/>
        <v/>
      </c>
      <c r="X644" s="11">
        <f t="shared" si="5"/>
        <v>1591.058</v>
      </c>
      <c r="Y644" s="14">
        <f t="shared" si="6"/>
        <v>0.095</v>
      </c>
      <c r="Z644" s="25"/>
      <c r="AA644" s="21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</row>
    <row r="645">
      <c r="A645" s="7"/>
      <c r="B645" s="7"/>
      <c r="C645" s="7"/>
      <c r="D645" s="7"/>
      <c r="E645" s="7"/>
      <c r="F645" s="7" t="s">
        <v>31</v>
      </c>
      <c r="G645" s="8">
        <v>5402.0</v>
      </c>
      <c r="H645" s="9">
        <v>39.45890694444444</v>
      </c>
      <c r="I645" s="9">
        <v>-112.99706638888888</v>
      </c>
      <c r="J645" s="13">
        <v>1587.92</v>
      </c>
      <c r="K645" s="10">
        <v>-7604.224</v>
      </c>
      <c r="L645" s="10">
        <v>17992.642</v>
      </c>
      <c r="M645" s="10">
        <v>187.908</v>
      </c>
      <c r="N645" s="10">
        <v>-7604.219</v>
      </c>
      <c r="O645" s="10">
        <v>17992.63</v>
      </c>
      <c r="P645" s="10">
        <v>183.728</v>
      </c>
      <c r="Q645" s="13">
        <v>1602.25</v>
      </c>
      <c r="R645" s="13">
        <v>-19.512</v>
      </c>
      <c r="S645" s="12">
        <v>0.89</v>
      </c>
      <c r="T645" s="13">
        <f t="shared" si="8"/>
        <v>1583.628</v>
      </c>
      <c r="U645" s="14">
        <f t="shared" si="2"/>
        <v>4.292</v>
      </c>
      <c r="V645" s="14">
        <f t="shared" si="3"/>
        <v>-0.327030303</v>
      </c>
      <c r="W645" s="15" t="str">
        <f t="shared" si="4"/>
        <v/>
      </c>
      <c r="X645" s="11">
        <f t="shared" si="5"/>
        <v>1583.368</v>
      </c>
      <c r="Y645" s="14">
        <f t="shared" si="6"/>
        <v>0.26</v>
      </c>
      <c r="Z645" s="25"/>
      <c r="AA645" s="21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</row>
    <row r="646">
      <c r="A646" s="7"/>
      <c r="B646" s="7"/>
      <c r="C646" s="7"/>
      <c r="D646" s="7"/>
      <c r="E646" s="7"/>
      <c r="F646" s="7" t="s">
        <v>31</v>
      </c>
      <c r="G646" s="8">
        <v>5403.0</v>
      </c>
      <c r="H646" s="9">
        <v>39.45867333333333</v>
      </c>
      <c r="I646" s="9">
        <v>-112.99234944444444</v>
      </c>
      <c r="J646" s="13">
        <v>1578.7</v>
      </c>
      <c r="K646" s="10">
        <v>-7198.173</v>
      </c>
      <c r="L646" s="10">
        <v>17966.244</v>
      </c>
      <c r="M646" s="10">
        <v>179.233</v>
      </c>
      <c r="N646" s="10">
        <v>-7198.168</v>
      </c>
      <c r="O646" s="10">
        <v>17966.232</v>
      </c>
      <c r="P646" s="10">
        <v>174.983</v>
      </c>
      <c r="Q646" s="13">
        <v>1592.96</v>
      </c>
      <c r="R646" s="13">
        <v>-19.515</v>
      </c>
      <c r="S646" s="12">
        <v>0.89</v>
      </c>
      <c r="T646" s="13">
        <f t="shared" si="8"/>
        <v>1574.335</v>
      </c>
      <c r="U646" s="14">
        <f t="shared" si="2"/>
        <v>4.365</v>
      </c>
      <c r="V646" s="14">
        <f t="shared" si="3"/>
        <v>-0.2352102564</v>
      </c>
      <c r="W646" s="15" t="str">
        <f t="shared" si="4"/>
        <v/>
      </c>
      <c r="X646" s="11">
        <f t="shared" si="5"/>
        <v>1574.148</v>
      </c>
      <c r="Y646" s="14">
        <f t="shared" si="6"/>
        <v>0.187</v>
      </c>
      <c r="Z646" s="25"/>
      <c r="AA646" s="21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</row>
    <row r="647">
      <c r="A647" s="7"/>
      <c r="B647" s="7"/>
      <c r="C647" s="7"/>
      <c r="D647" s="7"/>
      <c r="E647" s="7"/>
      <c r="F647" s="7" t="s">
        <v>31</v>
      </c>
      <c r="G647" s="8">
        <v>5405.0</v>
      </c>
      <c r="H647" s="9">
        <v>39.46125888888889</v>
      </c>
      <c r="I647" s="9">
        <v>-112.98321</v>
      </c>
      <c r="J647" s="13">
        <v>1567.98</v>
      </c>
      <c r="K647" s="10">
        <v>-6411.189</v>
      </c>
      <c r="L647" s="10">
        <v>18252.704</v>
      </c>
      <c r="M647" s="10">
        <v>168.536</v>
      </c>
      <c r="N647" s="10">
        <v>-6411.184</v>
      </c>
      <c r="O647" s="10">
        <v>18252.689</v>
      </c>
      <c r="P647" s="10">
        <v>163.106</v>
      </c>
      <c r="Q647" s="13">
        <v>1581.07</v>
      </c>
      <c r="R647" s="13">
        <v>-19.516</v>
      </c>
      <c r="S647" s="12">
        <v>0.89</v>
      </c>
      <c r="T647" s="13">
        <f t="shared" si="8"/>
        <v>1562.444</v>
      </c>
      <c r="U647" s="14">
        <f t="shared" si="2"/>
        <v>5.536</v>
      </c>
      <c r="V647" s="14">
        <f t="shared" si="3"/>
        <v>1.237683916</v>
      </c>
      <c r="W647" s="15" t="str">
        <f t="shared" si="4"/>
        <v/>
      </c>
      <c r="X647" s="11">
        <f t="shared" si="5"/>
        <v>1563.428</v>
      </c>
      <c r="Y647" s="14">
        <f t="shared" si="6"/>
        <v>-0.984</v>
      </c>
      <c r="Z647" s="25"/>
      <c r="AA647" s="21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</row>
    <row r="648">
      <c r="A648" s="7"/>
      <c r="B648" s="7"/>
      <c r="C648" s="7"/>
      <c r="D648" s="7"/>
      <c r="E648" s="7"/>
      <c r="F648" s="7" t="s">
        <v>31</v>
      </c>
      <c r="G648" s="8">
        <v>5406.0</v>
      </c>
      <c r="H648" s="9">
        <v>39.46375388888889</v>
      </c>
      <c r="I648" s="9">
        <v>-112.97971722222222</v>
      </c>
      <c r="J648" s="13">
        <v>1560.23</v>
      </c>
      <c r="K648" s="10">
        <v>-6110.278</v>
      </c>
      <c r="L648" s="10">
        <v>18529.513</v>
      </c>
      <c r="M648" s="10">
        <v>160.281</v>
      </c>
      <c r="N648" s="10">
        <v>-6110.275</v>
      </c>
      <c r="O648" s="10">
        <v>18529.501</v>
      </c>
      <c r="P648" s="10">
        <v>156.401</v>
      </c>
      <c r="Q648" s="13">
        <v>1574.86</v>
      </c>
      <c r="R648" s="13">
        <v>-19.513</v>
      </c>
      <c r="S648" s="12">
        <v>0.89</v>
      </c>
      <c r="T648" s="13">
        <f t="shared" si="8"/>
        <v>1556.237</v>
      </c>
      <c r="U648" s="14">
        <f t="shared" si="2"/>
        <v>3.993</v>
      </c>
      <c r="V648" s="14">
        <f t="shared" si="3"/>
        <v>-0.7031151515</v>
      </c>
      <c r="W648" s="15" t="str">
        <f t="shared" si="4"/>
        <v/>
      </c>
      <c r="X648" s="11">
        <f t="shared" si="5"/>
        <v>1555.678</v>
      </c>
      <c r="Y648" s="14">
        <f t="shared" si="6"/>
        <v>0.559</v>
      </c>
      <c r="Z648" s="25"/>
      <c r="AA648" s="21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</row>
    <row r="649">
      <c r="A649" s="7"/>
      <c r="B649" s="7"/>
      <c r="C649" s="7"/>
      <c r="D649" s="7"/>
      <c r="E649" s="7"/>
      <c r="F649" s="7" t="s">
        <v>31</v>
      </c>
      <c r="G649" s="8">
        <v>5407.0</v>
      </c>
      <c r="H649" s="9">
        <v>39.4669725</v>
      </c>
      <c r="I649" s="9">
        <v>-112.97709555555555</v>
      </c>
      <c r="J649" s="13">
        <v>1563.69</v>
      </c>
      <c r="K649" s="10">
        <v>-5884.397</v>
      </c>
      <c r="L649" s="10">
        <v>18886.823</v>
      </c>
      <c r="M649" s="10">
        <v>162.902</v>
      </c>
      <c r="N649" s="10">
        <v>-5884.394</v>
      </c>
      <c r="O649" s="10">
        <v>18886.811</v>
      </c>
      <c r="P649" s="10">
        <v>158.962</v>
      </c>
      <c r="Q649" s="13">
        <v>1578.26</v>
      </c>
      <c r="R649" s="13">
        <v>-19.508</v>
      </c>
      <c r="S649" s="12">
        <v>0.89</v>
      </c>
      <c r="T649" s="13">
        <f t="shared" si="8"/>
        <v>1559.642</v>
      </c>
      <c r="U649" s="14">
        <f t="shared" si="2"/>
        <v>4.048</v>
      </c>
      <c r="V649" s="14">
        <f t="shared" si="3"/>
        <v>-0.6339356643</v>
      </c>
      <c r="W649" s="15" t="str">
        <f t="shared" si="4"/>
        <v/>
      </c>
      <c r="X649" s="11">
        <f t="shared" si="5"/>
        <v>1559.138</v>
      </c>
      <c r="Y649" s="14">
        <f t="shared" si="6"/>
        <v>0.504</v>
      </c>
      <c r="Z649" s="25"/>
      <c r="AA649" s="21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</row>
    <row r="650">
      <c r="A650" s="7"/>
      <c r="B650" s="7"/>
      <c r="C650" s="7"/>
      <c r="D650" s="7"/>
      <c r="E650" s="7"/>
      <c r="F650" s="7" t="s">
        <v>31</v>
      </c>
      <c r="G650" s="8">
        <v>5501.0</v>
      </c>
      <c r="H650" s="9">
        <v>39.457065</v>
      </c>
      <c r="I650" s="9">
        <v>-113.00473416666667</v>
      </c>
      <c r="J650" s="13">
        <v>1597.05</v>
      </c>
      <c r="K650" s="10">
        <v>-8264.556</v>
      </c>
      <c r="L650" s="10">
        <v>17788.783</v>
      </c>
      <c r="M650" s="10">
        <v>196.791</v>
      </c>
      <c r="N650" s="10">
        <v>-8264.55</v>
      </c>
      <c r="O650" s="10">
        <v>17788.771</v>
      </c>
      <c r="P650" s="10">
        <v>192.501</v>
      </c>
      <c r="Q650" s="13">
        <v>1611.27</v>
      </c>
      <c r="R650" s="13">
        <v>-19.511</v>
      </c>
      <c r="S650" s="12">
        <v>0.89</v>
      </c>
      <c r="T650" s="13">
        <f t="shared" si="8"/>
        <v>1592.649</v>
      </c>
      <c r="U650" s="14">
        <f t="shared" si="2"/>
        <v>4.401</v>
      </c>
      <c r="V650" s="14">
        <f t="shared" si="3"/>
        <v>-0.1899291375</v>
      </c>
      <c r="W650" s="15" t="str">
        <f t="shared" si="4"/>
        <v/>
      </c>
      <c r="X650" s="11">
        <f t="shared" si="5"/>
        <v>1592.498</v>
      </c>
      <c r="Y650" s="14">
        <f t="shared" si="6"/>
        <v>0.151</v>
      </c>
      <c r="Z650" s="25"/>
      <c r="AA650" s="21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</row>
    <row r="651">
      <c r="A651" s="7"/>
      <c r="B651" s="7"/>
      <c r="C651" s="7"/>
      <c r="D651" s="7"/>
      <c r="E651" s="7"/>
      <c r="F651" s="7" t="s">
        <v>31</v>
      </c>
      <c r="G651" s="8">
        <v>5502.0</v>
      </c>
      <c r="H651" s="9">
        <v>39.45561138888889</v>
      </c>
      <c r="I651" s="9">
        <v>-113.00026527777777</v>
      </c>
      <c r="J651" s="13">
        <v>1587.27</v>
      </c>
      <c r="K651" s="10">
        <v>-7879.981</v>
      </c>
      <c r="L651" s="10">
        <v>17626.888</v>
      </c>
      <c r="M651" s="10">
        <v>187.948</v>
      </c>
      <c r="N651" s="10">
        <v>-7879.978</v>
      </c>
      <c r="O651" s="10">
        <v>17626.881</v>
      </c>
      <c r="P651" s="10">
        <v>185.288</v>
      </c>
      <c r="Q651" s="13">
        <v>1603.13</v>
      </c>
      <c r="R651" s="13">
        <v>-19.517</v>
      </c>
      <c r="S651" s="12">
        <v>0.89</v>
      </c>
      <c r="T651" s="13">
        <f t="shared" si="8"/>
        <v>1584.503</v>
      </c>
      <c r="U651" s="14">
        <f t="shared" si="2"/>
        <v>2.767</v>
      </c>
      <c r="V651" s="14">
        <f t="shared" si="3"/>
        <v>-2.245188811</v>
      </c>
      <c r="W651" s="15" t="str">
        <f t="shared" si="4"/>
        <v/>
      </c>
      <c r="X651" s="11">
        <f t="shared" si="5"/>
        <v>1582.718</v>
      </c>
      <c r="Y651" s="14">
        <f t="shared" si="6"/>
        <v>1.785</v>
      </c>
      <c r="Z651" s="25"/>
      <c r="AA651" s="21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</row>
    <row r="652">
      <c r="A652" s="7"/>
      <c r="B652" s="7"/>
      <c r="C652" s="7"/>
      <c r="D652" s="7"/>
      <c r="E652" s="7"/>
      <c r="F652" s="7" t="s">
        <v>31</v>
      </c>
      <c r="G652" s="8">
        <v>5503.0</v>
      </c>
      <c r="H652" s="9">
        <v>39.45497638888889</v>
      </c>
      <c r="I652" s="9">
        <v>-112.9954925</v>
      </c>
      <c r="J652" s="13">
        <v>1582.65</v>
      </c>
      <c r="K652" s="10">
        <v>-7469.225</v>
      </c>
      <c r="L652" s="10">
        <v>17555.953</v>
      </c>
      <c r="M652" s="10">
        <v>184.017</v>
      </c>
      <c r="N652" s="10">
        <v>-7469.22</v>
      </c>
      <c r="O652" s="10">
        <v>17555.941</v>
      </c>
      <c r="P652" s="10">
        <v>179.667</v>
      </c>
      <c r="Q652" s="13">
        <v>1596.82</v>
      </c>
      <c r="R652" s="13">
        <v>-19.522</v>
      </c>
      <c r="S652" s="12">
        <v>0.89</v>
      </c>
      <c r="T652" s="13">
        <f t="shared" si="8"/>
        <v>1578.188</v>
      </c>
      <c r="U652" s="14">
        <f t="shared" si="2"/>
        <v>4.462</v>
      </c>
      <c r="V652" s="14">
        <f t="shared" si="3"/>
        <v>-0.1132027972</v>
      </c>
      <c r="W652" s="15" t="str">
        <f t="shared" si="4"/>
        <v/>
      </c>
      <c r="X652" s="11">
        <f t="shared" si="5"/>
        <v>1578.098</v>
      </c>
      <c r="Y652" s="14">
        <f t="shared" si="6"/>
        <v>0.09</v>
      </c>
      <c r="Z652" s="25"/>
      <c r="AA652" s="21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</row>
    <row r="653">
      <c r="A653" s="7"/>
      <c r="B653" s="7"/>
      <c r="C653" s="7"/>
      <c r="D653" s="7"/>
      <c r="E653" s="7"/>
      <c r="F653" s="7" t="s">
        <v>31</v>
      </c>
      <c r="G653" s="8">
        <v>5505.0</v>
      </c>
      <c r="H653" s="9">
        <v>39.45565916666666</v>
      </c>
      <c r="I653" s="9">
        <v>-112.98568694444444</v>
      </c>
      <c r="J653" s="13">
        <v>1564.24</v>
      </c>
      <c r="K653" s="10">
        <v>-6624.942</v>
      </c>
      <c r="L653" s="10">
        <v>17630.986</v>
      </c>
      <c r="M653" s="10">
        <v>166.331</v>
      </c>
      <c r="N653" s="10">
        <v>-6624.938</v>
      </c>
      <c r="O653" s="10">
        <v>17630.976</v>
      </c>
      <c r="P653" s="10">
        <v>162.601</v>
      </c>
      <c r="Q653" s="13">
        <v>1579.04</v>
      </c>
      <c r="R653" s="13">
        <v>-19.527</v>
      </c>
      <c r="S653" s="12">
        <v>0.89</v>
      </c>
      <c r="T653" s="13">
        <f t="shared" si="8"/>
        <v>1560.403</v>
      </c>
      <c r="U653" s="14">
        <f t="shared" si="2"/>
        <v>3.837</v>
      </c>
      <c r="V653" s="14">
        <f t="shared" si="3"/>
        <v>-0.8993333333</v>
      </c>
      <c r="W653" s="15" t="str">
        <f t="shared" si="4"/>
        <v/>
      </c>
      <c r="X653" s="11">
        <f t="shared" si="5"/>
        <v>1559.688</v>
      </c>
      <c r="Y653" s="14">
        <f t="shared" si="6"/>
        <v>0.715</v>
      </c>
      <c r="Z653" s="25"/>
      <c r="AA653" s="21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</row>
    <row r="654">
      <c r="A654" s="7"/>
      <c r="B654" s="7"/>
      <c r="C654" s="7"/>
      <c r="D654" s="7"/>
      <c r="E654" s="7"/>
      <c r="F654" s="7" t="s">
        <v>31</v>
      </c>
      <c r="G654" s="8">
        <v>5508.0</v>
      </c>
      <c r="H654" s="9">
        <v>39.46293388888889</v>
      </c>
      <c r="I654" s="9">
        <v>-112.97414611111111</v>
      </c>
      <c r="J654" s="13">
        <v>1554.45</v>
      </c>
      <c r="K654" s="10">
        <v>-5630.793</v>
      </c>
      <c r="L654" s="10">
        <v>18438.073</v>
      </c>
      <c r="M654" s="10">
        <v>155.207</v>
      </c>
      <c r="N654" s="10">
        <v>-5630.789</v>
      </c>
      <c r="O654" s="10">
        <v>18438.059</v>
      </c>
      <c r="P654" s="10">
        <v>150.497</v>
      </c>
      <c r="Q654" s="13">
        <v>1568.26</v>
      </c>
      <c r="R654" s="13">
        <v>-19.52</v>
      </c>
      <c r="S654" s="12">
        <v>0.89</v>
      </c>
      <c r="T654" s="13">
        <f t="shared" si="8"/>
        <v>1549.63</v>
      </c>
      <c r="U654" s="14">
        <f t="shared" si="2"/>
        <v>4.82</v>
      </c>
      <c r="V654" s="14">
        <f t="shared" si="3"/>
        <v>0.3370927739</v>
      </c>
      <c r="W654" s="15" t="str">
        <f t="shared" si="4"/>
        <v/>
      </c>
      <c r="X654" s="11">
        <f t="shared" si="5"/>
        <v>1549.898</v>
      </c>
      <c r="Y654" s="14">
        <f t="shared" si="6"/>
        <v>-0.268</v>
      </c>
      <c r="Z654" s="25"/>
      <c r="AA654" s="21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</row>
    <row r="655">
      <c r="A655" s="7"/>
      <c r="B655" s="7"/>
      <c r="C655" s="7"/>
      <c r="D655" s="7"/>
      <c r="E655" s="7"/>
      <c r="F655" s="7" t="s">
        <v>31</v>
      </c>
      <c r="G655" s="8">
        <v>5509.0</v>
      </c>
      <c r="H655" s="9">
        <v>39.46607083333333</v>
      </c>
      <c r="I655" s="9">
        <v>-112.97230222222223</v>
      </c>
      <c r="J655" s="13">
        <v>1558.13</v>
      </c>
      <c r="K655" s="10">
        <v>-5471.819</v>
      </c>
      <c r="L655" s="10">
        <v>18786.337</v>
      </c>
      <c r="M655" s="10">
        <v>158.006</v>
      </c>
      <c r="N655" s="10">
        <v>-5471.814</v>
      </c>
      <c r="O655" s="10">
        <v>18786.321</v>
      </c>
      <c r="P655" s="10">
        <v>152.556</v>
      </c>
      <c r="Q655" s="13">
        <v>1571.19</v>
      </c>
      <c r="R655" s="13">
        <v>-19.514</v>
      </c>
      <c r="S655" s="12">
        <v>0.89</v>
      </c>
      <c r="T655" s="13">
        <f t="shared" si="8"/>
        <v>1552.566</v>
      </c>
      <c r="U655" s="14">
        <f t="shared" si="2"/>
        <v>5.564</v>
      </c>
      <c r="V655" s="14">
        <f t="shared" si="3"/>
        <v>1.272902564</v>
      </c>
      <c r="W655" s="15" t="str">
        <f t="shared" si="4"/>
        <v/>
      </c>
      <c r="X655" s="11">
        <f t="shared" si="5"/>
        <v>1553.578</v>
      </c>
      <c r="Y655" s="14">
        <f t="shared" si="6"/>
        <v>-1.012</v>
      </c>
      <c r="Z655" s="25"/>
      <c r="AA655" s="21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</row>
    <row r="656">
      <c r="A656" s="7"/>
      <c r="B656" s="7"/>
      <c r="C656" s="7"/>
      <c r="D656" s="7"/>
      <c r="E656" s="7"/>
      <c r="F656" s="7" t="s">
        <v>31</v>
      </c>
      <c r="G656" s="8">
        <v>5601.0</v>
      </c>
      <c r="H656" s="9">
        <v>39.45405638888889</v>
      </c>
      <c r="I656" s="9">
        <v>-113.00779</v>
      </c>
      <c r="J656" s="13">
        <v>1609.71</v>
      </c>
      <c r="K656" s="10">
        <v>-8528.024</v>
      </c>
      <c r="L656" s="10">
        <v>17454.947</v>
      </c>
      <c r="M656" s="10">
        <v>210.03</v>
      </c>
      <c r="N656" s="10">
        <v>-8528.019</v>
      </c>
      <c r="O656" s="10">
        <v>17454.937</v>
      </c>
      <c r="P656" s="10">
        <v>206.53</v>
      </c>
      <c r="Q656" s="13">
        <v>1624.72</v>
      </c>
      <c r="R656" s="13">
        <v>-19.515</v>
      </c>
      <c r="S656" s="12">
        <v>0.89</v>
      </c>
      <c r="T656" s="13">
        <f t="shared" si="8"/>
        <v>1606.095</v>
      </c>
      <c r="U656" s="14">
        <f t="shared" si="2"/>
        <v>3.615</v>
      </c>
      <c r="V656" s="14">
        <f t="shared" si="3"/>
        <v>-1.1785669</v>
      </c>
      <c r="W656" s="15" t="str">
        <f t="shared" si="4"/>
        <v/>
      </c>
      <c r="X656" s="11">
        <f t="shared" si="5"/>
        <v>1605.158</v>
      </c>
      <c r="Y656" s="14">
        <f t="shared" si="6"/>
        <v>0.937</v>
      </c>
      <c r="Z656" s="25"/>
      <c r="AA656" s="21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</row>
    <row r="657">
      <c r="A657" s="7"/>
      <c r="B657" s="7"/>
      <c r="C657" s="7"/>
      <c r="D657" s="7"/>
      <c r="E657" s="7"/>
      <c r="F657" s="7" t="s">
        <v>31</v>
      </c>
      <c r="G657" s="8">
        <v>5602.0</v>
      </c>
      <c r="H657" s="9">
        <v>39.45292527777778</v>
      </c>
      <c r="I657" s="9">
        <v>-113.00336</v>
      </c>
      <c r="J657" s="13">
        <v>1603.91</v>
      </c>
      <c r="K657" s="10">
        <v>-8146.762</v>
      </c>
      <c r="L657" s="10">
        <v>17328.923</v>
      </c>
      <c r="M657" s="10">
        <v>205.072</v>
      </c>
      <c r="N657" s="10">
        <v>-8146.756</v>
      </c>
      <c r="O657" s="10">
        <v>17328.909</v>
      </c>
      <c r="P657" s="10">
        <v>199.862</v>
      </c>
      <c r="Q657" s="13">
        <v>1617.22</v>
      </c>
      <c r="R657" s="13">
        <v>-19.52</v>
      </c>
      <c r="S657" s="12">
        <v>0.89</v>
      </c>
      <c r="T657" s="13">
        <f t="shared" si="8"/>
        <v>1598.59</v>
      </c>
      <c r="U657" s="14">
        <f t="shared" si="2"/>
        <v>5.32</v>
      </c>
      <c r="V657" s="14">
        <f t="shared" si="3"/>
        <v>0.9659972028</v>
      </c>
      <c r="W657" s="15" t="str">
        <f t="shared" si="4"/>
        <v/>
      </c>
      <c r="X657" s="11">
        <f t="shared" si="5"/>
        <v>1599.358</v>
      </c>
      <c r="Y657" s="14">
        <f t="shared" si="6"/>
        <v>-0.768</v>
      </c>
      <c r="Z657" s="25"/>
      <c r="AA657" s="21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</row>
    <row r="658">
      <c r="A658" s="7"/>
      <c r="B658" s="7"/>
      <c r="C658" s="7"/>
      <c r="D658" s="7"/>
      <c r="E658" s="7"/>
      <c r="F658" s="7" t="s">
        <v>31</v>
      </c>
      <c r="G658" s="8">
        <v>5603.0</v>
      </c>
      <c r="H658" s="9">
        <v>39.45166388888889</v>
      </c>
      <c r="I658" s="9">
        <v>-112.9994525</v>
      </c>
      <c r="J658" s="13">
        <v>1591.37</v>
      </c>
      <c r="K658" s="10">
        <v>-7810.523</v>
      </c>
      <c r="L658" s="10">
        <v>17188.509</v>
      </c>
      <c r="M658" s="10">
        <v>193.332</v>
      </c>
      <c r="N658" s="10">
        <v>-7810.518</v>
      </c>
      <c r="O658" s="10">
        <v>17188.499</v>
      </c>
      <c r="P658" s="10">
        <v>189.552</v>
      </c>
      <c r="Q658" s="13">
        <v>1606.12</v>
      </c>
      <c r="R658" s="13">
        <v>-19.526</v>
      </c>
      <c r="S658" s="12">
        <v>0.89</v>
      </c>
      <c r="T658" s="13">
        <f t="shared" si="8"/>
        <v>1587.484</v>
      </c>
      <c r="U658" s="14">
        <f t="shared" si="2"/>
        <v>3.886</v>
      </c>
      <c r="V658" s="14">
        <f t="shared" si="3"/>
        <v>-0.8377006993</v>
      </c>
      <c r="W658" s="15" t="str">
        <f t="shared" si="4"/>
        <v/>
      </c>
      <c r="X658" s="11">
        <f t="shared" si="5"/>
        <v>1586.818</v>
      </c>
      <c r="Y658" s="14">
        <f t="shared" si="6"/>
        <v>0.666</v>
      </c>
      <c r="Z658" s="25"/>
      <c r="AA658" s="21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</row>
    <row r="659">
      <c r="A659" s="7"/>
      <c r="B659" s="7"/>
      <c r="C659" s="7"/>
      <c r="D659" s="7"/>
      <c r="E659" s="7"/>
      <c r="F659" s="7" t="s">
        <v>31</v>
      </c>
      <c r="G659" s="8">
        <v>5604.0</v>
      </c>
      <c r="H659" s="9">
        <v>39.45113166666667</v>
      </c>
      <c r="I659" s="9">
        <v>-112.9939225</v>
      </c>
      <c r="J659" s="13">
        <v>1577.28</v>
      </c>
      <c r="K659" s="10">
        <v>-7334.461</v>
      </c>
      <c r="L659" s="10">
        <v>17128.929</v>
      </c>
      <c r="M659" s="10">
        <v>179.967</v>
      </c>
      <c r="N659" s="10">
        <v>-7334.458</v>
      </c>
      <c r="O659" s="10">
        <v>17128.923</v>
      </c>
      <c r="P659" s="10">
        <v>177.727</v>
      </c>
      <c r="Q659" s="13">
        <v>1593.57</v>
      </c>
      <c r="R659" s="13">
        <v>-19.531</v>
      </c>
      <c r="S659" s="12">
        <v>0.89</v>
      </c>
      <c r="T659" s="13">
        <f t="shared" si="8"/>
        <v>1574.929</v>
      </c>
      <c r="U659" s="14">
        <f t="shared" si="2"/>
        <v>2.351</v>
      </c>
      <c r="V659" s="14">
        <f t="shared" si="3"/>
        <v>-2.768437296</v>
      </c>
      <c r="W659" s="15" t="str">
        <f t="shared" si="4"/>
        <v/>
      </c>
      <c r="X659" s="11">
        <f t="shared" si="5"/>
        <v>1572.728</v>
      </c>
      <c r="Y659" s="14">
        <f t="shared" si="6"/>
        <v>2.201</v>
      </c>
      <c r="Z659" s="25"/>
      <c r="AA659" s="21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</row>
    <row r="660">
      <c r="A660" s="7"/>
      <c r="B660" s="7"/>
      <c r="C660" s="7"/>
      <c r="D660" s="7"/>
      <c r="E660" s="7"/>
      <c r="F660" s="7" t="s">
        <v>31</v>
      </c>
      <c r="G660" s="8">
        <v>5605.0</v>
      </c>
      <c r="H660" s="9">
        <v>39.45209222222222</v>
      </c>
      <c r="I660" s="9">
        <v>-112.98844972222223</v>
      </c>
      <c r="J660" s="13">
        <v>1566.01</v>
      </c>
      <c r="K660" s="10">
        <v>-6863.158</v>
      </c>
      <c r="L660" s="10">
        <v>17235.078</v>
      </c>
      <c r="M660" s="10">
        <v>168.934</v>
      </c>
      <c r="N660" s="10">
        <v>-6863.154</v>
      </c>
      <c r="O660" s="10">
        <v>17235.068</v>
      </c>
      <c r="P660" s="10">
        <v>165.454</v>
      </c>
      <c r="Q660" s="13">
        <v>1581.06</v>
      </c>
      <c r="R660" s="13">
        <v>-19.533</v>
      </c>
      <c r="S660" s="12">
        <v>0.89</v>
      </c>
      <c r="T660" s="13">
        <f t="shared" si="8"/>
        <v>1562.417</v>
      </c>
      <c r="U660" s="14">
        <f t="shared" si="2"/>
        <v>3.593</v>
      </c>
      <c r="V660" s="14">
        <f t="shared" si="3"/>
        <v>-1.206238695</v>
      </c>
      <c r="W660" s="15" t="str">
        <f t="shared" si="4"/>
        <v/>
      </c>
      <c r="X660" s="11">
        <f t="shared" si="5"/>
        <v>1561.458</v>
      </c>
      <c r="Y660" s="14">
        <f t="shared" si="6"/>
        <v>0.959</v>
      </c>
      <c r="Z660" s="21" t="s">
        <v>34</v>
      </c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</row>
    <row r="661">
      <c r="A661" s="7"/>
      <c r="B661" s="7"/>
      <c r="C661" s="7"/>
      <c r="D661" s="7"/>
      <c r="E661" s="7"/>
      <c r="F661" s="7" t="s">
        <v>31</v>
      </c>
      <c r="G661" s="8">
        <v>5606.0</v>
      </c>
      <c r="H661" s="9">
        <v>39.45247472222222</v>
      </c>
      <c r="I661" s="9">
        <v>-112.98441027777778</v>
      </c>
      <c r="J661" s="13">
        <v>1556.7</v>
      </c>
      <c r="K661" s="10">
        <v>-6515.295</v>
      </c>
      <c r="L661" s="10">
        <v>17277.286</v>
      </c>
      <c r="M661" s="10">
        <v>159.874</v>
      </c>
      <c r="N661" s="10">
        <v>-6515.293</v>
      </c>
      <c r="O661" s="10">
        <v>17277.281</v>
      </c>
      <c r="P661" s="10">
        <v>158.024</v>
      </c>
      <c r="Q661" s="13">
        <v>1573.39</v>
      </c>
      <c r="R661" s="13">
        <v>-19.536</v>
      </c>
      <c r="S661" s="12">
        <v>0.89</v>
      </c>
      <c r="T661" s="13">
        <f t="shared" si="8"/>
        <v>1554.744</v>
      </c>
      <c r="U661" s="14">
        <f t="shared" si="2"/>
        <v>1.956</v>
      </c>
      <c r="V661" s="14">
        <f t="shared" si="3"/>
        <v>-3.265271795</v>
      </c>
      <c r="W661" s="15" t="str">
        <f t="shared" si="4"/>
        <v>✔</v>
      </c>
      <c r="X661" s="11">
        <f t="shared" si="5"/>
        <v>1552.148</v>
      </c>
      <c r="Y661" s="14">
        <f t="shared" si="6"/>
        <v>2.596</v>
      </c>
      <c r="Z661" s="22">
        <v>1551.271</v>
      </c>
      <c r="AA661" s="22">
        <v>1570.817</v>
      </c>
      <c r="AB661" s="23">
        <v>1550.555</v>
      </c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</row>
    <row r="662">
      <c r="A662" s="7"/>
      <c r="B662" s="7"/>
      <c r="C662" s="7"/>
      <c r="D662" s="7"/>
      <c r="E662" s="7"/>
      <c r="F662" s="7" t="s">
        <v>31</v>
      </c>
      <c r="G662" s="8">
        <v>5607.0</v>
      </c>
      <c r="H662" s="9">
        <v>39.45392416666667</v>
      </c>
      <c r="I662" s="9">
        <v>-112.97997861111111</v>
      </c>
      <c r="J662" s="13">
        <v>1550.48</v>
      </c>
      <c r="K662" s="10">
        <v>-6133.684</v>
      </c>
      <c r="L662" s="10">
        <v>17437.872</v>
      </c>
      <c r="M662" s="10">
        <v>153.594</v>
      </c>
      <c r="N662" s="10">
        <v>-6133.682</v>
      </c>
      <c r="O662" s="10">
        <v>17437.864</v>
      </c>
      <c r="P662" s="10">
        <v>150.584</v>
      </c>
      <c r="Q662" s="13">
        <v>1566.01</v>
      </c>
      <c r="R662" s="13">
        <v>-19.536</v>
      </c>
      <c r="S662" s="12">
        <v>0.89</v>
      </c>
      <c r="T662" s="13">
        <f t="shared" si="8"/>
        <v>1547.364</v>
      </c>
      <c r="U662" s="14">
        <f t="shared" si="2"/>
        <v>3.116</v>
      </c>
      <c r="V662" s="14">
        <f t="shared" si="3"/>
        <v>-1.80621352</v>
      </c>
      <c r="W662" s="15" t="str">
        <f t="shared" si="4"/>
        <v/>
      </c>
      <c r="X662" s="11">
        <f t="shared" si="5"/>
        <v>1545.928</v>
      </c>
      <c r="Y662" s="14">
        <f t="shared" si="6"/>
        <v>1.436</v>
      </c>
      <c r="Z662" s="24">
        <f>Z661-Q661-R661</f>
        <v>-2.583</v>
      </c>
      <c r="AA662" s="24">
        <f>AA661-Q661</f>
        <v>-2.573</v>
      </c>
      <c r="AB662" s="24">
        <f>Z661-AB661</f>
        <v>0.716</v>
      </c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</row>
    <row r="663">
      <c r="A663" s="7"/>
      <c r="B663" s="7"/>
      <c r="C663" s="7"/>
      <c r="D663" s="7"/>
      <c r="E663" s="7"/>
      <c r="F663" s="7" t="s">
        <v>31</v>
      </c>
      <c r="G663" s="8">
        <v>5608.0</v>
      </c>
      <c r="H663" s="9">
        <v>39.45615361111111</v>
      </c>
      <c r="I663" s="9">
        <v>-112.97581611111111</v>
      </c>
      <c r="J663" s="13">
        <v>1553.34</v>
      </c>
      <c r="K663" s="10">
        <v>-5775.106</v>
      </c>
      <c r="L663" s="10">
        <v>17685.249</v>
      </c>
      <c r="M663" s="10">
        <v>156.105</v>
      </c>
      <c r="N663" s="10">
        <v>-5775.102</v>
      </c>
      <c r="O663" s="10">
        <v>17685.237</v>
      </c>
      <c r="P663" s="10">
        <v>151.555</v>
      </c>
      <c r="Q663" s="13">
        <v>1567.32</v>
      </c>
      <c r="R663" s="13">
        <v>-19.534</v>
      </c>
      <c r="S663" s="12">
        <v>0.89</v>
      </c>
      <c r="T663" s="13">
        <f t="shared" si="8"/>
        <v>1548.676</v>
      </c>
      <c r="U663" s="14">
        <f t="shared" si="2"/>
        <v>4.664</v>
      </c>
      <c r="V663" s="14">
        <f t="shared" si="3"/>
        <v>0.1408745921</v>
      </c>
      <c r="W663" s="15" t="str">
        <f t="shared" si="4"/>
        <v/>
      </c>
      <c r="X663" s="11">
        <f t="shared" si="5"/>
        <v>1548.788</v>
      </c>
      <c r="Y663" s="14">
        <f t="shared" si="6"/>
        <v>-0.112</v>
      </c>
      <c r="Z663" s="25"/>
      <c r="AA663" s="21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</row>
    <row r="664">
      <c r="A664" s="7"/>
      <c r="B664" s="7"/>
      <c r="C664" s="7"/>
      <c r="D664" s="7"/>
      <c r="E664" s="7"/>
      <c r="F664" s="7" t="s">
        <v>31</v>
      </c>
      <c r="G664" s="27">
        <v>5609.0</v>
      </c>
      <c r="H664" s="28">
        <v>39.45872611111111</v>
      </c>
      <c r="I664" s="28">
        <v>-112.97244305555556</v>
      </c>
      <c r="J664" s="29">
        <v>1553.3</v>
      </c>
      <c r="K664" s="10">
        <v>-5484.528</v>
      </c>
      <c r="L664" s="10">
        <v>17970.662</v>
      </c>
      <c r="M664" s="10">
        <v>155.522</v>
      </c>
      <c r="N664" s="10">
        <v>-5484.524</v>
      </c>
      <c r="O664" s="10">
        <v>17970.649</v>
      </c>
      <c r="P664" s="10">
        <v>150.792</v>
      </c>
      <c r="Q664" s="10">
        <v>1567.1</v>
      </c>
      <c r="R664" s="10">
        <v>-19.531</v>
      </c>
      <c r="S664" s="12">
        <v>0.89</v>
      </c>
      <c r="T664" s="13">
        <f t="shared" si="8"/>
        <v>1548.459</v>
      </c>
      <c r="U664" s="14">
        <f t="shared" si="2"/>
        <v>4.841</v>
      </c>
      <c r="V664" s="14">
        <f t="shared" si="3"/>
        <v>0.3635067599</v>
      </c>
      <c r="W664" s="15" t="str">
        <f t="shared" si="4"/>
        <v/>
      </c>
      <c r="X664" s="11">
        <f t="shared" si="5"/>
        <v>1548.748</v>
      </c>
      <c r="Y664" s="14">
        <f t="shared" si="6"/>
        <v>-0.289</v>
      </c>
      <c r="Z664" s="25"/>
      <c r="AA664" s="21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</row>
    <row r="665">
      <c r="A665" s="7"/>
      <c r="B665" s="7"/>
      <c r="C665" s="7"/>
      <c r="D665" s="7"/>
      <c r="E665" s="7"/>
      <c r="F665" s="7" t="s">
        <v>31</v>
      </c>
      <c r="G665" s="8">
        <v>5610.0</v>
      </c>
      <c r="H665" s="9">
        <v>39.46190583333333</v>
      </c>
      <c r="I665" s="9">
        <v>-112.96951305555555</v>
      </c>
      <c r="J665" s="13">
        <v>1545.01</v>
      </c>
      <c r="K665" s="10">
        <v>-5232.054</v>
      </c>
      <c r="L665" s="10">
        <v>18323.607</v>
      </c>
      <c r="M665" s="10">
        <v>146.437</v>
      </c>
      <c r="N665" s="10">
        <v>-5232.049</v>
      </c>
      <c r="O665" s="10">
        <v>18323.59</v>
      </c>
      <c r="P665" s="10">
        <v>140.707</v>
      </c>
      <c r="Q665" s="13">
        <v>1557.81</v>
      </c>
      <c r="R665" s="13">
        <v>-19.526</v>
      </c>
      <c r="S665" s="12">
        <v>0.89</v>
      </c>
      <c r="T665" s="13">
        <f t="shared" si="8"/>
        <v>1539.174</v>
      </c>
      <c r="U665" s="14">
        <f t="shared" si="2"/>
        <v>5.836</v>
      </c>
      <c r="V665" s="14">
        <f t="shared" si="3"/>
        <v>1.615026573</v>
      </c>
      <c r="W665" s="15" t="str">
        <f t="shared" si="4"/>
        <v/>
      </c>
      <c r="X665" s="11">
        <f t="shared" si="5"/>
        <v>1540.458</v>
      </c>
      <c r="Y665" s="14">
        <f t="shared" si="6"/>
        <v>-1.284</v>
      </c>
      <c r="Z665" s="25"/>
      <c r="AA665" s="21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</row>
    <row r="666">
      <c r="A666" s="7"/>
      <c r="B666" s="7"/>
      <c r="C666" s="7"/>
      <c r="D666" s="7"/>
      <c r="E666" s="7"/>
      <c r="F666" s="7" t="s">
        <v>31</v>
      </c>
      <c r="G666" s="8">
        <v>5611.0</v>
      </c>
      <c r="H666" s="9">
        <v>39.465248333333335</v>
      </c>
      <c r="I666" s="9">
        <v>-112.9674836111111</v>
      </c>
      <c r="J666" s="13">
        <v>1545.75</v>
      </c>
      <c r="K666" s="10">
        <v>-5057.154</v>
      </c>
      <c r="L666" s="10">
        <v>18694.625</v>
      </c>
      <c r="M666" s="10">
        <v>146.238</v>
      </c>
      <c r="N666" s="10">
        <v>-5057.15</v>
      </c>
      <c r="O666" s="10">
        <v>18694.612</v>
      </c>
      <c r="P666" s="10">
        <v>141.798</v>
      </c>
      <c r="Q666" s="13">
        <v>1559.83</v>
      </c>
      <c r="R666" s="13">
        <v>-19.521</v>
      </c>
      <c r="S666" s="12">
        <v>0.89</v>
      </c>
      <c r="T666" s="13">
        <f t="shared" si="8"/>
        <v>1541.199</v>
      </c>
      <c r="U666" s="14">
        <f t="shared" si="2"/>
        <v>4.551</v>
      </c>
      <c r="V666" s="14">
        <f t="shared" si="3"/>
        <v>-0.001257808858</v>
      </c>
      <c r="W666" s="15" t="str">
        <f t="shared" si="4"/>
        <v/>
      </c>
      <c r="X666" s="11">
        <f t="shared" si="5"/>
        <v>1541.198</v>
      </c>
      <c r="Y666" s="14">
        <f t="shared" si="6"/>
        <v>0.001</v>
      </c>
      <c r="Z666" s="25"/>
      <c r="AA666" s="21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</row>
    <row r="667">
      <c r="A667" s="7"/>
      <c r="B667" s="7"/>
      <c r="C667" s="7"/>
      <c r="D667" s="7"/>
      <c r="E667" s="7"/>
      <c r="F667" s="7" t="s">
        <v>31</v>
      </c>
      <c r="G667" s="8">
        <v>5701.0</v>
      </c>
      <c r="H667" s="9">
        <v>39.45168555555556</v>
      </c>
      <c r="I667" s="9">
        <v>-113.01033222222222</v>
      </c>
      <c r="J667" s="13">
        <v>1627.98</v>
      </c>
      <c r="K667" s="10">
        <v>-8747.19</v>
      </c>
      <c r="L667" s="10">
        <v>17192.047</v>
      </c>
      <c r="M667" s="10">
        <v>228.719</v>
      </c>
      <c r="N667" s="10">
        <v>-8747.185</v>
      </c>
      <c r="O667" s="10">
        <v>17192.036</v>
      </c>
      <c r="P667" s="10">
        <v>224.909</v>
      </c>
      <c r="Q667" s="13">
        <v>1642.69</v>
      </c>
      <c r="R667" s="13">
        <v>-19.518</v>
      </c>
      <c r="S667" s="12">
        <v>0.89</v>
      </c>
      <c r="T667" s="13">
        <f t="shared" si="8"/>
        <v>1624.062</v>
      </c>
      <c r="U667" s="14">
        <f t="shared" si="2"/>
        <v>3.918</v>
      </c>
      <c r="V667" s="14">
        <f t="shared" si="3"/>
        <v>-0.7974508159</v>
      </c>
      <c r="W667" s="15" t="str">
        <f t="shared" si="4"/>
        <v/>
      </c>
      <c r="X667" s="11">
        <f t="shared" si="5"/>
        <v>1623.428</v>
      </c>
      <c r="Y667" s="14">
        <f t="shared" si="6"/>
        <v>0.634</v>
      </c>
      <c r="Z667" s="25"/>
      <c r="AA667" s="21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</row>
    <row r="668">
      <c r="A668" s="7"/>
      <c r="B668" s="7"/>
      <c r="C668" s="7"/>
      <c r="D668" s="7"/>
      <c r="E668" s="7"/>
      <c r="F668" s="7" t="s">
        <v>31</v>
      </c>
      <c r="G668" s="8">
        <v>5702.0</v>
      </c>
      <c r="H668" s="9">
        <v>39.449399166666666</v>
      </c>
      <c r="I668" s="9">
        <v>-113.00610388888889</v>
      </c>
      <c r="J668" s="13">
        <v>1615.32</v>
      </c>
      <c r="K668" s="10">
        <v>-8383.439</v>
      </c>
      <c r="L668" s="10">
        <v>16937.636</v>
      </c>
      <c r="M668" s="10">
        <v>217.229</v>
      </c>
      <c r="N668" s="10">
        <v>-8383.433</v>
      </c>
      <c r="O668" s="10">
        <v>16937.624</v>
      </c>
      <c r="P668" s="10">
        <v>212.519</v>
      </c>
      <c r="Q668" s="13">
        <v>1629.14</v>
      </c>
      <c r="R668" s="13">
        <v>-19.526</v>
      </c>
      <c r="S668" s="12">
        <v>0.89</v>
      </c>
      <c r="T668" s="13">
        <f t="shared" si="8"/>
        <v>1610.504</v>
      </c>
      <c r="U668" s="14">
        <f t="shared" si="2"/>
        <v>4.816</v>
      </c>
      <c r="V668" s="14">
        <f t="shared" si="3"/>
        <v>0.3320615385</v>
      </c>
      <c r="W668" s="15" t="str">
        <f t="shared" si="4"/>
        <v/>
      </c>
      <c r="X668" s="11">
        <f t="shared" si="5"/>
        <v>1610.768</v>
      </c>
      <c r="Y668" s="14">
        <f t="shared" si="6"/>
        <v>-0.264</v>
      </c>
      <c r="Z668" s="25"/>
      <c r="AA668" s="21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</row>
    <row r="669">
      <c r="A669" s="7"/>
      <c r="B669" s="7"/>
      <c r="C669" s="7"/>
      <c r="D669" s="7"/>
      <c r="E669" s="7"/>
      <c r="F669" s="7" t="s">
        <v>31</v>
      </c>
      <c r="G669" s="8">
        <v>5703.0</v>
      </c>
      <c r="H669" s="9">
        <v>39.44815555555556</v>
      </c>
      <c r="I669" s="9">
        <v>-113.00170944444444</v>
      </c>
      <c r="J669" s="13">
        <v>1609.81</v>
      </c>
      <c r="K669" s="10">
        <v>-8005.176</v>
      </c>
      <c r="L669" s="10">
        <v>16799.186</v>
      </c>
      <c r="M669" s="10">
        <v>212.571</v>
      </c>
      <c r="N669" s="10">
        <v>-8005.163</v>
      </c>
      <c r="O669" s="10">
        <v>16799.158</v>
      </c>
      <c r="P669" s="10">
        <v>201.871</v>
      </c>
      <c r="Q669" s="13">
        <v>1617.64</v>
      </c>
      <c r="R669" s="13">
        <v>-19.532</v>
      </c>
      <c r="S669" s="12">
        <v>0.89</v>
      </c>
      <c r="T669" s="13">
        <f t="shared" si="8"/>
        <v>1598.998</v>
      </c>
      <c r="U669" s="14">
        <f t="shared" si="2"/>
        <v>10.812</v>
      </c>
      <c r="V669" s="14">
        <f t="shared" si="3"/>
        <v>7.87388345</v>
      </c>
      <c r="W669" s="15" t="str">
        <f t="shared" si="4"/>
        <v>✔</v>
      </c>
      <c r="X669" s="11">
        <f t="shared" si="5"/>
        <v>1605.258</v>
      </c>
      <c r="Y669" s="14">
        <f t="shared" si="6"/>
        <v>-6.26</v>
      </c>
      <c r="Z669" s="25"/>
      <c r="AA669" s="21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</row>
    <row r="670">
      <c r="A670" s="7"/>
      <c r="B670" s="7"/>
      <c r="C670" s="7"/>
      <c r="D670" s="7"/>
      <c r="E670" s="7"/>
      <c r="F670" s="7" t="s">
        <v>31</v>
      </c>
      <c r="G670" s="8">
        <v>5704.0</v>
      </c>
      <c r="H670" s="9">
        <v>39.44745277777778</v>
      </c>
      <c r="I670" s="9">
        <v>-112.99688305555556</v>
      </c>
      <c r="J670" s="13">
        <v>1597.03</v>
      </c>
      <c r="K670" s="10">
        <v>-7589.724</v>
      </c>
      <c r="L670" s="10">
        <v>16720.668</v>
      </c>
      <c r="M670" s="10">
        <v>200.505</v>
      </c>
      <c r="N670" s="10">
        <v>-7589.72</v>
      </c>
      <c r="O670" s="10">
        <v>16720.659</v>
      </c>
      <c r="P670" s="10">
        <v>197.145</v>
      </c>
      <c r="Q670" s="13">
        <v>1612.21</v>
      </c>
      <c r="R670" s="13">
        <v>-19.537</v>
      </c>
      <c r="S670" s="12">
        <v>0.89</v>
      </c>
      <c r="T670" s="13">
        <f t="shared" si="8"/>
        <v>1593.563</v>
      </c>
      <c r="U670" s="14">
        <f t="shared" si="2"/>
        <v>3.467</v>
      </c>
      <c r="V670" s="14">
        <f t="shared" si="3"/>
        <v>-1.364722611</v>
      </c>
      <c r="W670" s="15" t="str">
        <f t="shared" si="4"/>
        <v/>
      </c>
      <c r="X670" s="11">
        <f t="shared" si="5"/>
        <v>1592.478</v>
      </c>
      <c r="Y670" s="14">
        <f t="shared" si="6"/>
        <v>1.085</v>
      </c>
      <c r="Z670" s="25"/>
      <c r="AA670" s="21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</row>
    <row r="671">
      <c r="A671" s="7"/>
      <c r="B671" s="7"/>
      <c r="C671" s="7"/>
      <c r="D671" s="7"/>
      <c r="E671" s="7"/>
      <c r="F671" s="7" t="s">
        <v>31</v>
      </c>
      <c r="G671" s="8">
        <v>5705.0</v>
      </c>
      <c r="H671" s="9">
        <v>39.44734944444444</v>
      </c>
      <c r="I671" s="9">
        <v>-112.99228277777777</v>
      </c>
      <c r="J671" s="13">
        <v>1578.82</v>
      </c>
      <c r="K671" s="10">
        <v>-7193.657</v>
      </c>
      <c r="L671" s="10">
        <v>16708.695</v>
      </c>
      <c r="M671" s="10">
        <v>182.785</v>
      </c>
      <c r="N671" s="10">
        <v>-7193.653</v>
      </c>
      <c r="O671" s="10">
        <v>16708.687</v>
      </c>
      <c r="P671" s="10">
        <v>179.845</v>
      </c>
      <c r="Q671" s="13">
        <v>1594.42</v>
      </c>
      <c r="R671" s="13">
        <v>-19.541</v>
      </c>
      <c r="S671" s="12">
        <v>0.89</v>
      </c>
      <c r="T671" s="13">
        <f t="shared" si="8"/>
        <v>1575.769</v>
      </c>
      <c r="U671" s="14">
        <f t="shared" si="2"/>
        <v>3.051</v>
      </c>
      <c r="V671" s="14">
        <f t="shared" si="3"/>
        <v>-1.887971096</v>
      </c>
      <c r="W671" s="15" t="str">
        <f t="shared" si="4"/>
        <v/>
      </c>
      <c r="X671" s="11">
        <f t="shared" si="5"/>
        <v>1574.268</v>
      </c>
      <c r="Y671" s="14">
        <f t="shared" si="6"/>
        <v>1.501</v>
      </c>
      <c r="Z671" s="25"/>
      <c r="AA671" s="21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</row>
    <row r="672">
      <c r="A672" s="7"/>
      <c r="B672" s="7"/>
      <c r="C672" s="7"/>
      <c r="D672" s="7"/>
      <c r="E672" s="7"/>
      <c r="F672" s="7" t="s">
        <v>31</v>
      </c>
      <c r="G672" s="8">
        <v>5706.0</v>
      </c>
      <c r="H672" s="9">
        <v>39.44737444444444</v>
      </c>
      <c r="I672" s="9">
        <v>-112.98697972222222</v>
      </c>
      <c r="J672" s="13">
        <v>1571.16</v>
      </c>
      <c r="K672" s="10">
        <v>-6737.061</v>
      </c>
      <c r="L672" s="10">
        <v>16711.042</v>
      </c>
      <c r="M672" s="10">
        <v>175.616</v>
      </c>
      <c r="N672" s="10">
        <v>-6737.057</v>
      </c>
      <c r="O672" s="10">
        <v>16711.034</v>
      </c>
      <c r="P672" s="10">
        <v>172.326</v>
      </c>
      <c r="Q672" s="13">
        <v>1586.41</v>
      </c>
      <c r="R672" s="13">
        <v>-19.545</v>
      </c>
      <c r="S672" s="12">
        <v>0.89</v>
      </c>
      <c r="T672" s="13">
        <f t="shared" si="8"/>
        <v>1567.755</v>
      </c>
      <c r="U672" s="14">
        <f t="shared" si="2"/>
        <v>3.405</v>
      </c>
      <c r="V672" s="14">
        <f t="shared" si="3"/>
        <v>-1.44270676</v>
      </c>
      <c r="W672" s="15" t="str">
        <f t="shared" si="4"/>
        <v/>
      </c>
      <c r="X672" s="11">
        <f t="shared" si="5"/>
        <v>1566.608</v>
      </c>
      <c r="Y672" s="14">
        <f t="shared" si="6"/>
        <v>1.147</v>
      </c>
      <c r="Z672" s="25"/>
      <c r="AA672" s="21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</row>
    <row r="673">
      <c r="A673" s="7"/>
      <c r="B673" s="7"/>
      <c r="C673" s="7"/>
      <c r="D673" s="7"/>
      <c r="E673" s="7"/>
      <c r="F673" s="7" t="s">
        <v>31</v>
      </c>
      <c r="G673" s="8">
        <v>5707.0</v>
      </c>
      <c r="H673" s="9">
        <v>39.44883083333333</v>
      </c>
      <c r="I673" s="9">
        <v>-112.98262527777777</v>
      </c>
      <c r="J673" s="13">
        <v>1560.27</v>
      </c>
      <c r="K673" s="10">
        <v>-6361.954</v>
      </c>
      <c r="L673" s="10">
        <v>16872.5</v>
      </c>
      <c r="M673" s="10">
        <v>164.685</v>
      </c>
      <c r="N673" s="10">
        <v>-6361.951</v>
      </c>
      <c r="O673" s="10">
        <v>16872.491</v>
      </c>
      <c r="P673" s="10">
        <v>161.285</v>
      </c>
      <c r="Q673" s="13">
        <v>1575.41</v>
      </c>
      <c r="R673" s="13">
        <v>-19.545</v>
      </c>
      <c r="S673" s="12">
        <v>0.89</v>
      </c>
      <c r="T673" s="13">
        <f t="shared" si="8"/>
        <v>1556.755</v>
      </c>
      <c r="U673" s="14">
        <f t="shared" si="2"/>
        <v>3.515</v>
      </c>
      <c r="V673" s="14">
        <f t="shared" si="3"/>
        <v>-1.304347786</v>
      </c>
      <c r="W673" s="15" t="str">
        <f t="shared" si="4"/>
        <v/>
      </c>
      <c r="X673" s="11">
        <f t="shared" si="5"/>
        <v>1555.718</v>
      </c>
      <c r="Y673" s="14">
        <f t="shared" si="6"/>
        <v>1.037</v>
      </c>
      <c r="Z673" s="25"/>
      <c r="AA673" s="21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</row>
    <row r="674">
      <c r="A674" s="7"/>
      <c r="B674" s="7"/>
      <c r="C674" s="7"/>
      <c r="D674" s="7"/>
      <c r="E674" s="7"/>
      <c r="F674" s="7" t="s">
        <v>31</v>
      </c>
      <c r="G674" s="8">
        <v>5708.0</v>
      </c>
      <c r="H674" s="9">
        <v>39.44995138888889</v>
      </c>
      <c r="I674" s="9">
        <v>-112.978135</v>
      </c>
      <c r="J674" s="13">
        <v>1551.59</v>
      </c>
      <c r="K674" s="10">
        <v>-5975.273</v>
      </c>
      <c r="L674" s="10">
        <v>16996.547</v>
      </c>
      <c r="M674" s="10">
        <v>156.048</v>
      </c>
      <c r="N674" s="10">
        <v>-5975.268</v>
      </c>
      <c r="O674" s="10">
        <v>16996.532</v>
      </c>
      <c r="P674" s="10">
        <v>150.408</v>
      </c>
      <c r="Q674" s="13">
        <v>1564.5</v>
      </c>
      <c r="R674" s="13">
        <v>-19.546</v>
      </c>
      <c r="S674" s="12">
        <v>0.89</v>
      </c>
      <c r="T674" s="13">
        <f t="shared" si="8"/>
        <v>1545.844</v>
      </c>
      <c r="U674" s="14">
        <f t="shared" si="2"/>
        <v>5.746</v>
      </c>
      <c r="V674" s="14">
        <f t="shared" si="3"/>
        <v>1.501823776</v>
      </c>
      <c r="W674" s="15" t="str">
        <f t="shared" si="4"/>
        <v/>
      </c>
      <c r="X674" s="11">
        <f t="shared" si="5"/>
        <v>1547.038</v>
      </c>
      <c r="Y674" s="14">
        <f t="shared" si="6"/>
        <v>-1.194</v>
      </c>
      <c r="Z674" s="25"/>
      <c r="AA674" s="21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</row>
    <row r="675">
      <c r="A675" s="7"/>
      <c r="B675" s="7"/>
      <c r="C675" s="7"/>
      <c r="D675" s="7"/>
      <c r="E675" s="7"/>
      <c r="F675" s="7" t="s">
        <v>31</v>
      </c>
      <c r="G675" s="8">
        <v>5709.0</v>
      </c>
      <c r="H675" s="9">
        <v>39.452403333333336</v>
      </c>
      <c r="I675" s="9">
        <v>-112.97398194444445</v>
      </c>
      <c r="J675" s="13">
        <v>1542.02</v>
      </c>
      <c r="K675" s="10">
        <v>-5617.511</v>
      </c>
      <c r="L675" s="10">
        <v>17268.552</v>
      </c>
      <c r="M675" s="10">
        <v>146.07</v>
      </c>
      <c r="N675" s="10">
        <v>-5617.507</v>
      </c>
      <c r="O675" s="10">
        <v>17268.539</v>
      </c>
      <c r="P675" s="10">
        <v>141.3</v>
      </c>
      <c r="Q675" s="13">
        <v>1555.79</v>
      </c>
      <c r="R675" s="13">
        <v>-19.544</v>
      </c>
      <c r="S675" s="12">
        <v>0.89</v>
      </c>
      <c r="T675" s="13">
        <f t="shared" si="8"/>
        <v>1537.136</v>
      </c>
      <c r="U675" s="14">
        <f t="shared" si="2"/>
        <v>4.884</v>
      </c>
      <c r="V675" s="14">
        <f t="shared" si="3"/>
        <v>0.4175925408</v>
      </c>
      <c r="W675" s="15" t="str">
        <f t="shared" si="4"/>
        <v/>
      </c>
      <c r="X675" s="11">
        <f t="shared" si="5"/>
        <v>1537.468</v>
      </c>
      <c r="Y675" s="14">
        <f t="shared" si="6"/>
        <v>-0.332</v>
      </c>
      <c r="Z675" s="25"/>
      <c r="AA675" s="21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</row>
    <row r="676">
      <c r="A676" s="7"/>
      <c r="B676" s="7"/>
      <c r="C676" s="7"/>
      <c r="D676" s="7"/>
      <c r="E676" s="7"/>
      <c r="F676" s="7" t="s">
        <v>31</v>
      </c>
      <c r="G676" s="8">
        <v>5710.0</v>
      </c>
      <c r="H676" s="9">
        <v>39.454766666666664</v>
      </c>
      <c r="I676" s="9">
        <v>-112.9705236111111</v>
      </c>
      <c r="J676" s="13">
        <v>1542.97</v>
      </c>
      <c r="K676" s="10">
        <v>-5319.623</v>
      </c>
      <c r="L676" s="10">
        <v>17530.869</v>
      </c>
      <c r="M676" s="10">
        <v>146.558</v>
      </c>
      <c r="N676" s="10">
        <v>-5319.619</v>
      </c>
      <c r="O676" s="10">
        <v>17530.855</v>
      </c>
      <c r="P676" s="10">
        <v>141.378</v>
      </c>
      <c r="Q676" s="13">
        <v>1556.33</v>
      </c>
      <c r="R676" s="13">
        <v>-19.542</v>
      </c>
      <c r="S676" s="12">
        <v>0.89</v>
      </c>
      <c r="T676" s="13">
        <f t="shared" si="8"/>
        <v>1537.678</v>
      </c>
      <c r="U676" s="14">
        <f t="shared" si="2"/>
        <v>5.292</v>
      </c>
      <c r="V676" s="14">
        <f t="shared" si="3"/>
        <v>0.9307785548</v>
      </c>
      <c r="W676" s="15" t="str">
        <f t="shared" si="4"/>
        <v/>
      </c>
      <c r="X676" s="11">
        <f t="shared" si="5"/>
        <v>1538.418</v>
      </c>
      <c r="Y676" s="14">
        <f t="shared" si="6"/>
        <v>-0.74</v>
      </c>
      <c r="Z676" s="25"/>
      <c r="AA676" s="21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</row>
    <row r="677">
      <c r="A677" s="7"/>
      <c r="B677" s="7"/>
      <c r="C677" s="7"/>
      <c r="D677" s="7"/>
      <c r="E677" s="7"/>
      <c r="F677" s="7" t="s">
        <v>31</v>
      </c>
      <c r="G677" s="8">
        <v>5711.0</v>
      </c>
      <c r="H677" s="9">
        <v>39.45768861111111</v>
      </c>
      <c r="I677" s="9">
        <v>-112.96728944444445</v>
      </c>
      <c r="J677" s="13">
        <v>1539.46</v>
      </c>
      <c r="K677" s="10">
        <v>-5040.909</v>
      </c>
      <c r="L677" s="10">
        <v>17855.164</v>
      </c>
      <c r="M677" s="10">
        <v>142.372</v>
      </c>
      <c r="N677" s="10">
        <v>-5040.906</v>
      </c>
      <c r="O677" s="10">
        <v>17855.154</v>
      </c>
      <c r="P677" s="10">
        <v>139.012</v>
      </c>
      <c r="Q677" s="13">
        <v>1554.64</v>
      </c>
      <c r="R677" s="13">
        <v>-19.538</v>
      </c>
      <c r="S677" s="12">
        <v>0.89</v>
      </c>
      <c r="T677" s="13">
        <f t="shared" si="8"/>
        <v>1535.992</v>
      </c>
      <c r="U677" s="14">
        <f t="shared" si="2"/>
        <v>3.468</v>
      </c>
      <c r="V677" s="14">
        <f t="shared" si="3"/>
        <v>-1.363464802</v>
      </c>
      <c r="W677" s="15" t="str">
        <f t="shared" si="4"/>
        <v/>
      </c>
      <c r="X677" s="11">
        <f t="shared" si="5"/>
        <v>1534.908</v>
      </c>
      <c r="Y677" s="14">
        <f t="shared" si="6"/>
        <v>1.084</v>
      </c>
      <c r="Z677" s="25"/>
      <c r="AA677" s="21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</row>
    <row r="678">
      <c r="A678" s="7"/>
      <c r="B678" s="7"/>
      <c r="C678" s="7"/>
      <c r="D678" s="7"/>
      <c r="E678" s="7"/>
      <c r="F678" s="7" t="s">
        <v>31</v>
      </c>
      <c r="G678" s="8">
        <v>5712.0</v>
      </c>
      <c r="H678" s="9">
        <v>39.46087277777778</v>
      </c>
      <c r="I678" s="9">
        <v>-112.96465805555556</v>
      </c>
      <c r="J678" s="13">
        <v>1537.09</v>
      </c>
      <c r="K678" s="10">
        <v>-4814.195</v>
      </c>
      <c r="L678" s="10">
        <v>18208.599</v>
      </c>
      <c r="M678" s="10">
        <v>139.175</v>
      </c>
      <c r="N678" s="10">
        <v>-4814.191</v>
      </c>
      <c r="O678" s="10">
        <v>18208.584</v>
      </c>
      <c r="P678" s="10">
        <v>133.885</v>
      </c>
      <c r="Q678" s="13">
        <v>1550.33</v>
      </c>
      <c r="R678" s="13">
        <v>-19.533</v>
      </c>
      <c r="S678" s="12">
        <v>0.89</v>
      </c>
      <c r="T678" s="13">
        <f t="shared" si="8"/>
        <v>1531.687</v>
      </c>
      <c r="U678" s="14">
        <f t="shared" si="2"/>
        <v>5.403</v>
      </c>
      <c r="V678" s="14">
        <f t="shared" si="3"/>
        <v>1.070395338</v>
      </c>
      <c r="W678" s="15" t="str">
        <f t="shared" si="4"/>
        <v/>
      </c>
      <c r="X678" s="11">
        <f t="shared" si="5"/>
        <v>1532.538</v>
      </c>
      <c r="Y678" s="14">
        <f t="shared" si="6"/>
        <v>-0.851</v>
      </c>
      <c r="Z678" s="25"/>
      <c r="AA678" s="21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</row>
    <row r="679">
      <c r="A679" s="7"/>
      <c r="B679" s="7"/>
      <c r="C679" s="7"/>
      <c r="D679" s="7"/>
      <c r="E679" s="7"/>
      <c r="F679" s="7" t="s">
        <v>31</v>
      </c>
      <c r="G679" s="8">
        <v>5713.0</v>
      </c>
      <c r="H679" s="9">
        <v>39.46441388888889</v>
      </c>
      <c r="I679" s="9">
        <v>-112.96268666666667</v>
      </c>
      <c r="J679" s="13">
        <v>1535.05</v>
      </c>
      <c r="K679" s="10">
        <v>-4644.29</v>
      </c>
      <c r="L679" s="10">
        <v>18601.72</v>
      </c>
      <c r="M679" s="10">
        <v>136.124</v>
      </c>
      <c r="N679" s="10">
        <v>-4644.287</v>
      </c>
      <c r="O679" s="10">
        <v>18601.707</v>
      </c>
      <c r="P679" s="10">
        <v>131.514</v>
      </c>
      <c r="Q679" s="13">
        <v>1548.97</v>
      </c>
      <c r="R679" s="13">
        <v>-19.527</v>
      </c>
      <c r="S679" s="12">
        <v>0.89</v>
      </c>
      <c r="T679" s="13">
        <f t="shared" si="8"/>
        <v>1530.333</v>
      </c>
      <c r="U679" s="14">
        <f t="shared" si="2"/>
        <v>4.717</v>
      </c>
      <c r="V679" s="14">
        <f t="shared" si="3"/>
        <v>0.2075384615</v>
      </c>
      <c r="W679" s="15" t="str">
        <f t="shared" si="4"/>
        <v/>
      </c>
      <c r="X679" s="11">
        <f t="shared" si="5"/>
        <v>1530.498</v>
      </c>
      <c r="Y679" s="14">
        <f t="shared" si="6"/>
        <v>-0.165</v>
      </c>
      <c r="Z679" s="25"/>
      <c r="AA679" s="21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</row>
    <row r="680">
      <c r="A680" s="7"/>
      <c r="B680" s="7"/>
      <c r="C680" s="7"/>
      <c r="D680" s="7"/>
      <c r="E680" s="7"/>
      <c r="F680" s="7" t="s">
        <v>31</v>
      </c>
      <c r="G680" s="8">
        <v>5802.0</v>
      </c>
      <c r="H680" s="9">
        <v>39.444155277777774</v>
      </c>
      <c r="I680" s="9">
        <v>-113.00990472222222</v>
      </c>
      <c r="J680" s="13">
        <v>1640.36</v>
      </c>
      <c r="K680" s="10">
        <v>-8711.383</v>
      </c>
      <c r="L680" s="10">
        <v>16355.705</v>
      </c>
      <c r="M680" s="10">
        <v>243.353</v>
      </c>
      <c r="N680" s="10">
        <v>-8711.373</v>
      </c>
      <c r="O680" s="10">
        <v>16355.686</v>
      </c>
      <c r="P680" s="10">
        <v>236.273</v>
      </c>
      <c r="Q680" s="13">
        <v>1651.81</v>
      </c>
      <c r="R680" s="13">
        <v>-19.533</v>
      </c>
      <c r="S680" s="12">
        <v>0.89</v>
      </c>
      <c r="T680" s="13">
        <f t="shared" si="8"/>
        <v>1633.167</v>
      </c>
      <c r="U680" s="14">
        <f t="shared" si="2"/>
        <v>7.193</v>
      </c>
      <c r="V680" s="14">
        <f t="shared" si="3"/>
        <v>3.321873193</v>
      </c>
      <c r="W680" s="15" t="str">
        <f t="shared" si="4"/>
        <v>✔</v>
      </c>
      <c r="X680" s="11">
        <f t="shared" si="5"/>
        <v>1635.808</v>
      </c>
      <c r="Y680" s="14">
        <f t="shared" si="6"/>
        <v>-2.641</v>
      </c>
      <c r="Z680" s="25"/>
      <c r="AA680" s="21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</row>
    <row r="681">
      <c r="A681" s="7"/>
      <c r="B681" s="7"/>
      <c r="C681" s="7"/>
      <c r="D681" s="7"/>
      <c r="E681" s="7"/>
      <c r="F681" s="7" t="s">
        <v>31</v>
      </c>
      <c r="G681" s="27">
        <v>5804.0</v>
      </c>
      <c r="H681" s="28">
        <v>39.44112805555555</v>
      </c>
      <c r="I681" s="28">
        <v>-112.99442</v>
      </c>
      <c r="J681" s="29">
        <v>1605.14</v>
      </c>
      <c r="K681" s="10">
        <v>-7378.338</v>
      </c>
      <c r="L681" s="10">
        <v>16018.084</v>
      </c>
      <c r="M681" s="10">
        <v>210.67</v>
      </c>
      <c r="N681" s="10">
        <v>-7378.331</v>
      </c>
      <c r="O681" s="10">
        <v>16018.07</v>
      </c>
      <c r="P681" s="10">
        <v>205.07</v>
      </c>
      <c r="Q681" s="10">
        <v>1618.09</v>
      </c>
      <c r="R681" s="10">
        <v>-19.553</v>
      </c>
      <c r="S681" s="12">
        <v>0.89</v>
      </c>
      <c r="T681" s="13">
        <f t="shared" si="8"/>
        <v>1599.427</v>
      </c>
      <c r="U681" s="14">
        <f t="shared" si="2"/>
        <v>5.713</v>
      </c>
      <c r="V681" s="14">
        <f t="shared" si="3"/>
        <v>1.460316084</v>
      </c>
      <c r="W681" s="15" t="str">
        <f t="shared" si="4"/>
        <v/>
      </c>
      <c r="X681" s="11">
        <f t="shared" si="5"/>
        <v>1600.588</v>
      </c>
      <c r="Y681" s="14">
        <f t="shared" si="6"/>
        <v>-1.161</v>
      </c>
      <c r="Z681" s="25"/>
      <c r="AA681" s="21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</row>
    <row r="682">
      <c r="A682" s="7"/>
      <c r="B682" s="7"/>
      <c r="C682" s="7"/>
      <c r="D682" s="7"/>
      <c r="E682" s="7"/>
      <c r="F682" s="7" t="s">
        <v>31</v>
      </c>
      <c r="G682" s="8">
        <v>5805.0</v>
      </c>
      <c r="H682" s="9">
        <v>39.44194666666667</v>
      </c>
      <c r="I682" s="9">
        <v>-112.98634722222222</v>
      </c>
      <c r="J682" s="13">
        <v>1574.84</v>
      </c>
      <c r="K682" s="10">
        <v>-6683.082</v>
      </c>
      <c r="L682" s="10">
        <v>16108.331</v>
      </c>
      <c r="M682" s="10">
        <v>180.908</v>
      </c>
      <c r="N682" s="10">
        <v>-6683.076</v>
      </c>
      <c r="O682" s="10">
        <v>16108.316</v>
      </c>
      <c r="P682" s="10">
        <v>174.848</v>
      </c>
      <c r="Q682" s="13">
        <v>1587.34</v>
      </c>
      <c r="R682" s="13">
        <v>-19.558</v>
      </c>
      <c r="S682" s="12">
        <v>0.89</v>
      </c>
      <c r="T682" s="13">
        <f t="shared" si="8"/>
        <v>1568.672</v>
      </c>
      <c r="U682" s="14">
        <f t="shared" si="2"/>
        <v>6.168</v>
      </c>
      <c r="V682" s="14">
        <f t="shared" si="3"/>
        <v>2.032619114</v>
      </c>
      <c r="W682" s="15" t="str">
        <f t="shared" si="4"/>
        <v/>
      </c>
      <c r="X682" s="11">
        <f t="shared" si="5"/>
        <v>1570.288</v>
      </c>
      <c r="Y682" s="14">
        <f t="shared" si="6"/>
        <v>-1.616</v>
      </c>
      <c r="Z682" s="25"/>
      <c r="AA682" s="21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</row>
    <row r="683">
      <c r="A683" s="7"/>
      <c r="B683" s="7"/>
      <c r="C683" s="7"/>
      <c r="D683" s="7"/>
      <c r="E683" s="7"/>
      <c r="F683" s="7" t="s">
        <v>31</v>
      </c>
      <c r="G683" s="8">
        <v>5806.0</v>
      </c>
      <c r="H683" s="9">
        <v>39.44352638888889</v>
      </c>
      <c r="I683" s="9">
        <v>-112.98016361111111</v>
      </c>
      <c r="J683" s="13">
        <v>1560.28</v>
      </c>
      <c r="K683" s="10">
        <v>-6150.535</v>
      </c>
      <c r="L683" s="10">
        <v>16283.205</v>
      </c>
      <c r="M683" s="10">
        <v>166.437</v>
      </c>
      <c r="N683" s="10">
        <v>-6150.532</v>
      </c>
      <c r="O683" s="10">
        <v>16283.197</v>
      </c>
      <c r="P683" s="10">
        <v>163.277</v>
      </c>
      <c r="Q683" s="13">
        <v>1575.68</v>
      </c>
      <c r="R683" s="13">
        <v>-19.559</v>
      </c>
      <c r="S683" s="12">
        <v>0.89</v>
      </c>
      <c r="T683" s="13">
        <f t="shared" si="8"/>
        <v>1557.011</v>
      </c>
      <c r="U683" s="14">
        <f t="shared" si="2"/>
        <v>3.269</v>
      </c>
      <c r="V683" s="14">
        <f t="shared" si="3"/>
        <v>-1.613768765</v>
      </c>
      <c r="W683" s="15" t="str">
        <f t="shared" si="4"/>
        <v/>
      </c>
      <c r="X683" s="11">
        <f t="shared" si="5"/>
        <v>1555.728</v>
      </c>
      <c r="Y683" s="14">
        <f t="shared" si="6"/>
        <v>1.283</v>
      </c>
      <c r="Z683" s="25"/>
      <c r="AA683" s="21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</row>
    <row r="684">
      <c r="A684" s="7"/>
      <c r="B684" s="7"/>
      <c r="C684" s="7"/>
      <c r="D684" s="7"/>
      <c r="E684" s="7"/>
      <c r="F684" s="7" t="s">
        <v>31</v>
      </c>
      <c r="G684" s="8">
        <v>5807.0</v>
      </c>
      <c r="H684" s="9">
        <v>39.445885555555556</v>
      </c>
      <c r="I684" s="9">
        <v>-112.97354</v>
      </c>
      <c r="J684" s="13">
        <v>1548.28</v>
      </c>
      <c r="K684" s="10">
        <v>-5579.984</v>
      </c>
      <c r="L684" s="10">
        <v>16544.824</v>
      </c>
      <c r="M684" s="10">
        <v>154.286</v>
      </c>
      <c r="N684" s="10">
        <v>-5579.98</v>
      </c>
      <c r="O684" s="10">
        <v>16544.812</v>
      </c>
      <c r="P684" s="10">
        <v>149.476</v>
      </c>
      <c r="Q684" s="13">
        <v>1562.03</v>
      </c>
      <c r="R684" s="13">
        <v>-19.559</v>
      </c>
      <c r="S684" s="12">
        <v>0.89</v>
      </c>
      <c r="T684" s="13">
        <f t="shared" si="8"/>
        <v>1543.361</v>
      </c>
      <c r="U684" s="14">
        <f t="shared" si="2"/>
        <v>4.919</v>
      </c>
      <c r="V684" s="14">
        <f t="shared" si="3"/>
        <v>0.4616158508</v>
      </c>
      <c r="W684" s="15" t="str">
        <f t="shared" si="4"/>
        <v/>
      </c>
      <c r="X684" s="11">
        <f t="shared" si="5"/>
        <v>1543.728</v>
      </c>
      <c r="Y684" s="14">
        <f t="shared" si="6"/>
        <v>-0.367</v>
      </c>
      <c r="Z684" s="25"/>
      <c r="AA684" s="21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</row>
    <row r="685">
      <c r="A685" s="7"/>
      <c r="B685" s="7"/>
      <c r="C685" s="7"/>
      <c r="D685" s="7"/>
      <c r="E685" s="7"/>
      <c r="F685" s="7" t="s">
        <v>31</v>
      </c>
      <c r="G685" s="8">
        <v>5808.0</v>
      </c>
      <c r="H685" s="9">
        <v>39.44871944444444</v>
      </c>
      <c r="I685" s="9">
        <v>-112.96774</v>
      </c>
      <c r="J685" s="13">
        <v>1536.49</v>
      </c>
      <c r="K685" s="10">
        <v>-5080.384</v>
      </c>
      <c r="L685" s="10">
        <v>16859.058</v>
      </c>
      <c r="M685" s="10">
        <v>142.088</v>
      </c>
      <c r="N685" s="10">
        <v>-5080.379</v>
      </c>
      <c r="O685" s="10">
        <v>16859.044</v>
      </c>
      <c r="P685" s="10">
        <v>136.818</v>
      </c>
      <c r="Q685" s="13">
        <v>1549.78</v>
      </c>
      <c r="R685" s="13">
        <v>-19.558</v>
      </c>
      <c r="S685" s="12">
        <v>0.89</v>
      </c>
      <c r="T685" s="13">
        <f t="shared" si="8"/>
        <v>1531.112</v>
      </c>
      <c r="U685" s="14">
        <f t="shared" si="2"/>
        <v>5.378</v>
      </c>
      <c r="V685" s="14">
        <f t="shared" si="3"/>
        <v>1.038950117</v>
      </c>
      <c r="W685" s="15" t="str">
        <f t="shared" si="4"/>
        <v/>
      </c>
      <c r="X685" s="11">
        <f t="shared" si="5"/>
        <v>1531.938</v>
      </c>
      <c r="Y685" s="14">
        <f t="shared" si="6"/>
        <v>-0.826</v>
      </c>
      <c r="Z685" s="25"/>
      <c r="AA685" s="21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</row>
    <row r="686">
      <c r="A686" s="7"/>
      <c r="B686" s="7"/>
      <c r="C686" s="7"/>
      <c r="D686" s="7"/>
      <c r="E686" s="7"/>
      <c r="F686" s="7" t="s">
        <v>31</v>
      </c>
      <c r="G686" s="8">
        <v>5809.0</v>
      </c>
      <c r="H686" s="9">
        <v>39.453183055555556</v>
      </c>
      <c r="I686" s="9">
        <v>-112.9625475</v>
      </c>
      <c r="J686" s="13">
        <v>1527.17</v>
      </c>
      <c r="K686" s="10">
        <v>-4633.064</v>
      </c>
      <c r="L686" s="10">
        <v>17354.483</v>
      </c>
      <c r="M686" s="10">
        <v>131.776</v>
      </c>
      <c r="N686" s="10">
        <v>-4633.061</v>
      </c>
      <c r="O686" s="10">
        <v>17354.47</v>
      </c>
      <c r="P686" s="10">
        <v>127.026</v>
      </c>
      <c r="Q686" s="13">
        <v>1540.97</v>
      </c>
      <c r="R686" s="13">
        <v>-19.553</v>
      </c>
      <c r="S686" s="12">
        <v>0.89</v>
      </c>
      <c r="T686" s="13">
        <f t="shared" si="8"/>
        <v>1522.307</v>
      </c>
      <c r="U686" s="14">
        <f t="shared" si="2"/>
        <v>4.863</v>
      </c>
      <c r="V686" s="14">
        <f t="shared" si="3"/>
        <v>0.3911785548</v>
      </c>
      <c r="W686" s="15" t="str">
        <f t="shared" si="4"/>
        <v/>
      </c>
      <c r="X686" s="11">
        <f t="shared" si="5"/>
        <v>1522.618</v>
      </c>
      <c r="Y686" s="14">
        <f t="shared" si="6"/>
        <v>-0.311</v>
      </c>
      <c r="Z686" s="25"/>
      <c r="AA686" s="21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</row>
    <row r="687">
      <c r="A687" s="7"/>
      <c r="B687" s="7"/>
      <c r="C687" s="7"/>
      <c r="D687" s="7"/>
      <c r="E687" s="7"/>
      <c r="F687" s="7" t="s">
        <v>31</v>
      </c>
      <c r="G687" s="8">
        <v>5810.0</v>
      </c>
      <c r="H687" s="9">
        <v>39.457884444444446</v>
      </c>
      <c r="I687" s="9">
        <v>-112.9584836111111</v>
      </c>
      <c r="J687" s="13">
        <v>1528.27</v>
      </c>
      <c r="K687" s="10">
        <v>-4282.9</v>
      </c>
      <c r="L687" s="10">
        <v>17876.334</v>
      </c>
      <c r="M687" s="10">
        <v>131.676</v>
      </c>
      <c r="N687" s="10">
        <v>-4282.896</v>
      </c>
      <c r="O687" s="10">
        <v>17876.316</v>
      </c>
      <c r="P687" s="10">
        <v>125.326</v>
      </c>
      <c r="Q687" s="13">
        <v>1540.47</v>
      </c>
      <c r="R687" s="13">
        <v>-19.547</v>
      </c>
      <c r="S687" s="12">
        <v>0.89</v>
      </c>
      <c r="T687" s="13">
        <f t="shared" si="8"/>
        <v>1521.813</v>
      </c>
      <c r="U687" s="14">
        <f t="shared" si="2"/>
        <v>6.457</v>
      </c>
      <c r="V687" s="14">
        <f t="shared" si="3"/>
        <v>2.396125874</v>
      </c>
      <c r="W687" s="15" t="str">
        <f t="shared" si="4"/>
        <v/>
      </c>
      <c r="X687" s="11">
        <f t="shared" si="5"/>
        <v>1523.718</v>
      </c>
      <c r="Y687" s="14">
        <f t="shared" si="6"/>
        <v>-1.905</v>
      </c>
      <c r="Z687" s="25"/>
      <c r="AA687" s="21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</row>
    <row r="688">
      <c r="A688" s="7"/>
      <c r="B688" s="7"/>
      <c r="C688" s="7"/>
      <c r="D688" s="7"/>
      <c r="E688" s="7"/>
      <c r="F688" s="7" t="s">
        <v>31</v>
      </c>
      <c r="G688" s="8">
        <v>5904.0</v>
      </c>
      <c r="H688" s="9">
        <v>39.437462777777775</v>
      </c>
      <c r="I688" s="9">
        <v>-112.99628333333334</v>
      </c>
      <c r="J688" s="13">
        <v>1615.02</v>
      </c>
      <c r="K688" s="10">
        <v>-7539.163</v>
      </c>
      <c r="L688" s="10">
        <v>15611.258</v>
      </c>
      <c r="M688" s="10">
        <v>221.374</v>
      </c>
      <c r="N688" s="10">
        <v>-7539.158</v>
      </c>
      <c r="O688" s="10">
        <v>15611.248</v>
      </c>
      <c r="P688" s="10">
        <v>217.134</v>
      </c>
      <c r="Q688" s="13">
        <v>1629.34</v>
      </c>
      <c r="R688" s="13">
        <v>-19.56</v>
      </c>
      <c r="S688" s="12">
        <v>0.89</v>
      </c>
      <c r="T688" s="13">
        <f t="shared" si="8"/>
        <v>1610.67</v>
      </c>
      <c r="U688" s="14">
        <f t="shared" si="2"/>
        <v>4.35</v>
      </c>
      <c r="V688" s="14">
        <f t="shared" si="3"/>
        <v>-0.2540773893</v>
      </c>
      <c r="W688" s="15" t="str">
        <f t="shared" si="4"/>
        <v/>
      </c>
      <c r="X688" s="11">
        <f t="shared" si="5"/>
        <v>1610.468</v>
      </c>
      <c r="Y688" s="14">
        <f t="shared" si="6"/>
        <v>0.202</v>
      </c>
      <c r="Z688" s="25"/>
      <c r="AA688" s="21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</row>
    <row r="689">
      <c r="A689" s="7"/>
      <c r="B689" s="7"/>
      <c r="C689" s="7"/>
      <c r="D689" s="7"/>
      <c r="E689" s="7"/>
      <c r="F689" s="7" t="s">
        <v>31</v>
      </c>
      <c r="G689" s="8">
        <v>5905.0</v>
      </c>
      <c r="H689" s="9">
        <v>39.43499194444444</v>
      </c>
      <c r="I689" s="9">
        <v>-112.99035694444444</v>
      </c>
      <c r="J689" s="13">
        <v>1585.83</v>
      </c>
      <c r="K689" s="10">
        <v>-7029.079</v>
      </c>
      <c r="L689" s="10">
        <v>15336.302</v>
      </c>
      <c r="M689" s="10">
        <v>193.434</v>
      </c>
      <c r="N689" s="10">
        <v>-7029.076</v>
      </c>
      <c r="O689" s="10">
        <v>15336.297</v>
      </c>
      <c r="P689" s="10">
        <v>191.174</v>
      </c>
      <c r="Q689" s="13">
        <v>1602.14</v>
      </c>
      <c r="R689" s="13">
        <v>-19.57</v>
      </c>
      <c r="S689" s="12">
        <v>0.89</v>
      </c>
      <c r="T689" s="13">
        <f t="shared" si="8"/>
        <v>1583.46</v>
      </c>
      <c r="U689" s="14">
        <f t="shared" si="2"/>
        <v>2.37</v>
      </c>
      <c r="V689" s="14">
        <f t="shared" si="3"/>
        <v>-2.744538928</v>
      </c>
      <c r="W689" s="15" t="str">
        <f t="shared" si="4"/>
        <v/>
      </c>
      <c r="X689" s="11">
        <f t="shared" si="5"/>
        <v>1581.278</v>
      </c>
      <c r="Y689" s="14">
        <f t="shared" si="6"/>
        <v>2.182</v>
      </c>
      <c r="Z689" s="25"/>
      <c r="AA689" s="21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</row>
    <row r="690">
      <c r="A690" s="7"/>
      <c r="B690" s="7"/>
      <c r="C690" s="7"/>
      <c r="D690" s="7"/>
      <c r="E690" s="7"/>
      <c r="F690" s="7" t="s">
        <v>31</v>
      </c>
      <c r="G690" s="8">
        <v>5906.0</v>
      </c>
      <c r="H690" s="9">
        <v>39.436495</v>
      </c>
      <c r="I690" s="9">
        <v>-112.9848675</v>
      </c>
      <c r="J690" s="13">
        <v>1563.52</v>
      </c>
      <c r="K690" s="10">
        <v>-6556.231</v>
      </c>
      <c r="L690" s="10">
        <v>15502.745</v>
      </c>
      <c r="M690" s="10">
        <v>171.223</v>
      </c>
      <c r="N690" s="10">
        <v>-6556.229</v>
      </c>
      <c r="O690" s="10">
        <v>15502.741</v>
      </c>
      <c r="P690" s="10">
        <v>169.583</v>
      </c>
      <c r="Q690" s="13">
        <v>1580.45</v>
      </c>
      <c r="R690" s="13">
        <v>-19.571</v>
      </c>
      <c r="S690" s="12">
        <v>0.89</v>
      </c>
      <c r="T690" s="13">
        <f t="shared" si="8"/>
        <v>1561.769</v>
      </c>
      <c r="U690" s="14">
        <f t="shared" si="2"/>
        <v>1.751</v>
      </c>
      <c r="V690" s="14">
        <f t="shared" si="3"/>
        <v>-3.523122611</v>
      </c>
      <c r="W690" s="15" t="str">
        <f t="shared" si="4"/>
        <v>✔</v>
      </c>
      <c r="X690" s="11">
        <f t="shared" si="5"/>
        <v>1558.968</v>
      </c>
      <c r="Y690" s="14">
        <f t="shared" si="6"/>
        <v>2.801</v>
      </c>
      <c r="Z690" s="25"/>
      <c r="AA690" s="21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</row>
    <row r="691">
      <c r="A691" s="7"/>
      <c r="B691" s="7"/>
      <c r="C691" s="7"/>
      <c r="D691" s="7"/>
      <c r="E691" s="7"/>
      <c r="F691" s="7" t="s">
        <v>31</v>
      </c>
      <c r="G691" s="8">
        <v>5907.0</v>
      </c>
      <c r="H691" s="9">
        <v>39.43817555555555</v>
      </c>
      <c r="I691" s="9">
        <v>-112.97775722222222</v>
      </c>
      <c r="J691" s="13">
        <v>1560.06</v>
      </c>
      <c r="K691" s="10">
        <v>-5943.738</v>
      </c>
      <c r="L691" s="10">
        <v>15688.922</v>
      </c>
      <c r="M691" s="10">
        <v>167.906</v>
      </c>
      <c r="N691" s="10">
        <v>-5943.735</v>
      </c>
      <c r="O691" s="10">
        <v>15688.914</v>
      </c>
      <c r="P691" s="10">
        <v>164.726</v>
      </c>
      <c r="Q691" s="13">
        <v>1575.45</v>
      </c>
      <c r="R691" s="13">
        <v>-19.573</v>
      </c>
      <c r="S691" s="12">
        <v>0.89</v>
      </c>
      <c r="T691" s="13">
        <f t="shared" si="8"/>
        <v>1556.767</v>
      </c>
      <c r="U691" s="14">
        <f t="shared" si="2"/>
        <v>3.293</v>
      </c>
      <c r="V691" s="14">
        <f t="shared" si="3"/>
        <v>-1.583581352</v>
      </c>
      <c r="W691" s="15" t="str">
        <f t="shared" si="4"/>
        <v/>
      </c>
      <c r="X691" s="11">
        <f t="shared" si="5"/>
        <v>1555.508</v>
      </c>
      <c r="Y691" s="14">
        <f t="shared" si="6"/>
        <v>1.259</v>
      </c>
      <c r="Z691" s="25"/>
      <c r="AA691" s="21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</row>
    <row r="692">
      <c r="A692" s="7"/>
      <c r="B692" s="7"/>
      <c r="C692" s="7"/>
      <c r="D692" s="7"/>
      <c r="E692" s="7"/>
      <c r="F692" s="7" t="s">
        <v>31</v>
      </c>
      <c r="G692" s="8">
        <v>5908.0</v>
      </c>
      <c r="H692" s="9">
        <v>39.44049638888889</v>
      </c>
      <c r="I692" s="9">
        <v>-112.97107777777778</v>
      </c>
      <c r="J692" s="13">
        <v>1539.8</v>
      </c>
      <c r="K692" s="10">
        <v>-5368.41</v>
      </c>
      <c r="L692" s="10">
        <v>15946.091</v>
      </c>
      <c r="M692" s="10">
        <v>147.516</v>
      </c>
      <c r="N692" s="10">
        <v>-5368.407</v>
      </c>
      <c r="O692" s="10">
        <v>15946.082</v>
      </c>
      <c r="P692" s="10">
        <v>143.706</v>
      </c>
      <c r="Q692" s="13">
        <v>1554.56</v>
      </c>
      <c r="R692" s="13">
        <v>-19.574</v>
      </c>
      <c r="S692" s="12">
        <v>0.89</v>
      </c>
      <c r="T692" s="13">
        <f t="shared" si="8"/>
        <v>1535.876</v>
      </c>
      <c r="U692" s="14">
        <f t="shared" si="2"/>
        <v>3.924</v>
      </c>
      <c r="V692" s="14">
        <f t="shared" si="3"/>
        <v>-0.7899039627</v>
      </c>
      <c r="W692" s="15" t="str">
        <f t="shared" si="4"/>
        <v/>
      </c>
      <c r="X692" s="11">
        <f t="shared" si="5"/>
        <v>1535.248</v>
      </c>
      <c r="Y692" s="14">
        <f t="shared" si="6"/>
        <v>0.628</v>
      </c>
      <c r="Z692" s="25"/>
      <c r="AA692" s="21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</row>
    <row r="693">
      <c r="A693" s="7"/>
      <c r="B693" s="7"/>
      <c r="C693" s="7"/>
      <c r="D693" s="7"/>
      <c r="E693" s="7"/>
      <c r="F693" s="7" t="s">
        <v>31</v>
      </c>
      <c r="G693" s="8">
        <v>5909.0</v>
      </c>
      <c r="H693" s="9">
        <v>39.44356027777778</v>
      </c>
      <c r="I693" s="9">
        <v>-112.964925</v>
      </c>
      <c r="J693" s="13">
        <v>1527.46</v>
      </c>
      <c r="K693" s="10">
        <v>-4838.37</v>
      </c>
      <c r="L693" s="10">
        <v>16285.971</v>
      </c>
      <c r="M693" s="10">
        <v>134.739</v>
      </c>
      <c r="N693" s="10">
        <v>-4838.367</v>
      </c>
      <c r="O693" s="10">
        <v>16285.96</v>
      </c>
      <c r="P693" s="10">
        <v>130.469</v>
      </c>
      <c r="Q693" s="13">
        <v>1541.76</v>
      </c>
      <c r="R693" s="13">
        <v>-19.573</v>
      </c>
      <c r="S693" s="12">
        <v>0.89</v>
      </c>
      <c r="T693" s="13">
        <f t="shared" si="8"/>
        <v>1523.077</v>
      </c>
      <c r="U693" s="14">
        <f t="shared" si="2"/>
        <v>4.383</v>
      </c>
      <c r="V693" s="14">
        <f t="shared" si="3"/>
        <v>-0.212569697</v>
      </c>
      <c r="W693" s="15" t="str">
        <f t="shared" si="4"/>
        <v/>
      </c>
      <c r="X693" s="11">
        <f t="shared" si="5"/>
        <v>1522.908</v>
      </c>
      <c r="Y693" s="14">
        <f t="shared" si="6"/>
        <v>0.169</v>
      </c>
      <c r="Z693" s="25"/>
      <c r="AA693" s="21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</row>
    <row r="694">
      <c r="A694" s="7"/>
      <c r="B694" s="7"/>
      <c r="C694" s="7"/>
      <c r="D694" s="7"/>
      <c r="E694" s="7"/>
      <c r="F694" s="7" t="s">
        <v>31</v>
      </c>
      <c r="G694" s="8">
        <v>5910.0</v>
      </c>
      <c r="H694" s="9">
        <v>39.447337222222224</v>
      </c>
      <c r="I694" s="9">
        <v>-112.95945388888889</v>
      </c>
      <c r="J694" s="13">
        <v>1522.95</v>
      </c>
      <c r="K694" s="10">
        <v>-4367.059</v>
      </c>
      <c r="L694" s="10">
        <v>16705.118</v>
      </c>
      <c r="M694" s="10">
        <v>129.482</v>
      </c>
      <c r="N694" s="10">
        <v>-4367.055</v>
      </c>
      <c r="O694" s="10">
        <v>16705.103</v>
      </c>
      <c r="P694" s="10">
        <v>123.872</v>
      </c>
      <c r="Q694" s="13">
        <v>1535.91</v>
      </c>
      <c r="R694" s="13">
        <v>-19.57</v>
      </c>
      <c r="S694" s="12">
        <v>0.89</v>
      </c>
      <c r="T694" s="13">
        <f t="shared" si="8"/>
        <v>1517.23</v>
      </c>
      <c r="U694" s="14">
        <f t="shared" si="2"/>
        <v>5.72</v>
      </c>
      <c r="V694" s="14">
        <f t="shared" si="3"/>
        <v>1.469120746</v>
      </c>
      <c r="W694" s="15" t="str">
        <f t="shared" si="4"/>
        <v/>
      </c>
      <c r="X694" s="11">
        <f t="shared" si="5"/>
        <v>1518.398</v>
      </c>
      <c r="Y694" s="14">
        <f t="shared" si="6"/>
        <v>-1.168</v>
      </c>
      <c r="Z694" s="25"/>
      <c r="AA694" s="21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</row>
    <row r="695">
      <c r="A695" s="7"/>
      <c r="B695" s="7"/>
      <c r="C695" s="7"/>
      <c r="D695" s="7"/>
      <c r="E695" s="7"/>
      <c r="F695" s="7" t="s">
        <v>31</v>
      </c>
      <c r="G695" s="8">
        <v>5911.0</v>
      </c>
      <c r="H695" s="9">
        <v>39.451680555555555</v>
      </c>
      <c r="I695" s="9">
        <v>-112.95484277777778</v>
      </c>
      <c r="J695" s="13">
        <v>1516.16</v>
      </c>
      <c r="K695" s="10">
        <v>-3969.806</v>
      </c>
      <c r="L695" s="10">
        <v>17187.289</v>
      </c>
      <c r="M695" s="10">
        <v>121.667</v>
      </c>
      <c r="N695" s="10">
        <v>-3969.803</v>
      </c>
      <c r="O695" s="10">
        <v>17187.274</v>
      </c>
      <c r="P695" s="10">
        <v>116.087</v>
      </c>
      <c r="Q695" s="13">
        <v>1529.14</v>
      </c>
      <c r="R695" s="13">
        <v>-19.564</v>
      </c>
      <c r="S695" s="12">
        <v>0.89</v>
      </c>
      <c r="T695" s="13">
        <f t="shared" si="8"/>
        <v>1510.466</v>
      </c>
      <c r="U695" s="14">
        <f t="shared" si="2"/>
        <v>5.694</v>
      </c>
      <c r="V695" s="14">
        <f t="shared" si="3"/>
        <v>1.436417716</v>
      </c>
      <c r="W695" s="15" t="str">
        <f t="shared" si="4"/>
        <v/>
      </c>
      <c r="X695" s="11">
        <f t="shared" si="5"/>
        <v>1511.608</v>
      </c>
      <c r="Y695" s="14">
        <f t="shared" si="6"/>
        <v>-1.142</v>
      </c>
      <c r="Z695" s="25"/>
      <c r="AA695" s="21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</row>
    <row r="696">
      <c r="A696" s="7"/>
      <c r="B696" s="7"/>
      <c r="C696" s="7"/>
      <c r="D696" s="7"/>
      <c r="E696" s="7"/>
      <c r="F696" s="7" t="s">
        <v>31</v>
      </c>
      <c r="G696" s="8">
        <v>5912.0</v>
      </c>
      <c r="H696" s="9">
        <v>39.45655277777778</v>
      </c>
      <c r="I696" s="9">
        <v>-112.9511225</v>
      </c>
      <c r="J696" s="13">
        <v>1516.61</v>
      </c>
      <c r="K696" s="10">
        <v>-3649.285</v>
      </c>
      <c r="L696" s="10">
        <v>17728.17</v>
      </c>
      <c r="M696" s="10">
        <v>120.824</v>
      </c>
      <c r="N696" s="10">
        <v>-3649.282</v>
      </c>
      <c r="O696" s="10">
        <v>17728.154</v>
      </c>
      <c r="P696" s="10">
        <v>114.974</v>
      </c>
      <c r="Q696" s="13">
        <v>1529.32</v>
      </c>
      <c r="R696" s="13">
        <v>-19.558</v>
      </c>
      <c r="S696" s="12">
        <v>0.89</v>
      </c>
      <c r="T696" s="13">
        <f t="shared" si="8"/>
        <v>1510.652</v>
      </c>
      <c r="U696" s="14">
        <f t="shared" si="2"/>
        <v>5.958</v>
      </c>
      <c r="V696" s="14">
        <f t="shared" si="3"/>
        <v>1.768479254</v>
      </c>
      <c r="W696" s="15" t="str">
        <f t="shared" si="4"/>
        <v/>
      </c>
      <c r="X696" s="11">
        <f t="shared" si="5"/>
        <v>1512.058</v>
      </c>
      <c r="Y696" s="14">
        <f t="shared" si="6"/>
        <v>-1.406</v>
      </c>
      <c r="Z696" s="25"/>
      <c r="AA696" s="21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</row>
    <row r="697">
      <c r="A697" s="7"/>
      <c r="B697" s="7"/>
      <c r="C697" s="7"/>
      <c r="D697" s="7"/>
      <c r="E697" s="7"/>
      <c r="F697" s="7" t="s">
        <v>31</v>
      </c>
      <c r="G697" s="8">
        <v>5913.0</v>
      </c>
      <c r="H697" s="9">
        <v>39.461795555555554</v>
      </c>
      <c r="I697" s="9">
        <v>-112.94841305555556</v>
      </c>
      <c r="J697" s="13">
        <v>1512.9</v>
      </c>
      <c r="K697" s="10">
        <v>-3415.73</v>
      </c>
      <c r="L697" s="10">
        <v>18310.29</v>
      </c>
      <c r="M697" s="10">
        <v>115.594</v>
      </c>
      <c r="N697" s="10">
        <v>-3415.727</v>
      </c>
      <c r="O697" s="10">
        <v>18310.273</v>
      </c>
      <c r="P697" s="10">
        <v>109.624</v>
      </c>
      <c r="Q697" s="13">
        <v>1525.48</v>
      </c>
      <c r="R697" s="13">
        <v>-19.549</v>
      </c>
      <c r="S697" s="12">
        <v>0.89</v>
      </c>
      <c r="T697" s="13">
        <f t="shared" si="8"/>
        <v>1506.821</v>
      </c>
      <c r="U697" s="14">
        <f t="shared" si="2"/>
        <v>6.079</v>
      </c>
      <c r="V697" s="14">
        <f t="shared" si="3"/>
        <v>1.920674126</v>
      </c>
      <c r="W697" s="15" t="str">
        <f t="shared" si="4"/>
        <v/>
      </c>
      <c r="X697" s="11">
        <f t="shared" si="5"/>
        <v>1508.348</v>
      </c>
      <c r="Y697" s="14">
        <f t="shared" si="6"/>
        <v>-1.527</v>
      </c>
      <c r="Z697" s="25"/>
      <c r="AA697" s="21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</row>
    <row r="698">
      <c r="A698" s="7"/>
      <c r="B698" s="7"/>
      <c r="C698" s="7"/>
      <c r="D698" s="7"/>
      <c r="E698" s="7"/>
      <c r="F698" s="7" t="s">
        <v>31</v>
      </c>
      <c r="G698" s="8">
        <v>6008.0</v>
      </c>
      <c r="H698" s="9">
        <v>39.43411916666667</v>
      </c>
      <c r="I698" s="9">
        <v>-112.9716313888889</v>
      </c>
      <c r="J698" s="13">
        <v>1539.15</v>
      </c>
      <c r="K698" s="10">
        <v>-5416.521</v>
      </c>
      <c r="L698" s="10">
        <v>15237.954</v>
      </c>
      <c r="M698" s="10">
        <v>148.561</v>
      </c>
      <c r="N698" s="10">
        <v>-5416.519</v>
      </c>
      <c r="O698" s="10">
        <v>15237.95</v>
      </c>
      <c r="P698" s="10">
        <v>146.571</v>
      </c>
      <c r="Q698" s="13">
        <v>1555.75</v>
      </c>
      <c r="R698" s="13">
        <v>-19.588</v>
      </c>
      <c r="S698" s="12">
        <v>0.89</v>
      </c>
      <c r="T698" s="13">
        <f t="shared" si="8"/>
        <v>1537.052</v>
      </c>
      <c r="U698" s="14">
        <f t="shared" si="2"/>
        <v>2.098</v>
      </c>
      <c r="V698" s="14">
        <f t="shared" si="3"/>
        <v>-3.086662937</v>
      </c>
      <c r="W698" s="15" t="str">
        <f t="shared" si="4"/>
        <v>✔</v>
      </c>
      <c r="X698" s="11">
        <f t="shared" si="5"/>
        <v>1534.598</v>
      </c>
      <c r="Y698" s="14">
        <f t="shared" si="6"/>
        <v>2.454</v>
      </c>
      <c r="Z698" s="25"/>
      <c r="AA698" s="21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</row>
    <row r="699">
      <c r="A699" s="7"/>
      <c r="B699" s="7"/>
      <c r="C699" s="7"/>
      <c r="D699" s="7"/>
      <c r="E699" s="7"/>
      <c r="F699" s="7" t="s">
        <v>31</v>
      </c>
      <c r="G699" s="8">
        <v>6010.0</v>
      </c>
      <c r="H699" s="9">
        <v>39.439704166666665</v>
      </c>
      <c r="I699" s="9">
        <v>-112.95940555555555</v>
      </c>
      <c r="J699" s="13">
        <v>1522.93</v>
      </c>
      <c r="K699" s="10">
        <v>-4363.402</v>
      </c>
      <c r="L699" s="10">
        <v>15857.469</v>
      </c>
      <c r="M699" s="10">
        <v>131.633</v>
      </c>
      <c r="N699" s="10">
        <v>-4363.399</v>
      </c>
      <c r="O699" s="10">
        <v>15857.459</v>
      </c>
      <c r="P699" s="10">
        <v>127.413</v>
      </c>
      <c r="Q699" s="13">
        <v>1537.3</v>
      </c>
      <c r="R699" s="13">
        <v>-19.587</v>
      </c>
      <c r="S699" s="12">
        <v>0.89</v>
      </c>
      <c r="T699" s="13">
        <f t="shared" si="8"/>
        <v>1518.603</v>
      </c>
      <c r="U699" s="14">
        <f t="shared" si="2"/>
        <v>4.327</v>
      </c>
      <c r="V699" s="14">
        <f t="shared" si="3"/>
        <v>-0.283006993</v>
      </c>
      <c r="W699" s="15" t="str">
        <f t="shared" si="4"/>
        <v/>
      </c>
      <c r="X699" s="11">
        <f t="shared" si="5"/>
        <v>1518.378</v>
      </c>
      <c r="Y699" s="14">
        <f t="shared" si="6"/>
        <v>0.225</v>
      </c>
      <c r="Z699" s="25"/>
      <c r="AA699" s="21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</row>
    <row r="700">
      <c r="A700" s="7"/>
      <c r="B700" s="7"/>
      <c r="C700" s="7"/>
      <c r="D700" s="7"/>
      <c r="E700" s="7"/>
      <c r="F700" s="7" t="s">
        <v>31</v>
      </c>
      <c r="G700" s="8">
        <v>6011.0</v>
      </c>
      <c r="H700" s="9">
        <v>39.443643333333334</v>
      </c>
      <c r="I700" s="9">
        <v>-112.95387611111111</v>
      </c>
      <c r="J700" s="13">
        <v>1512.74</v>
      </c>
      <c r="K700" s="10">
        <v>-3886.999</v>
      </c>
      <c r="L700" s="10">
        <v>16294.618</v>
      </c>
      <c r="M700" s="10">
        <v>120.646</v>
      </c>
      <c r="N700" s="10">
        <v>-3886.995</v>
      </c>
      <c r="O700" s="10">
        <v>16294.603</v>
      </c>
      <c r="P700" s="10">
        <v>114.816</v>
      </c>
      <c r="Q700" s="13">
        <v>1525.49</v>
      </c>
      <c r="R700" s="13">
        <v>-19.584</v>
      </c>
      <c r="S700" s="12">
        <v>0.89</v>
      </c>
      <c r="T700" s="13">
        <f t="shared" si="8"/>
        <v>1506.796</v>
      </c>
      <c r="U700" s="14">
        <f t="shared" si="2"/>
        <v>5.944</v>
      </c>
      <c r="V700" s="14">
        <f t="shared" si="3"/>
        <v>1.75086993</v>
      </c>
      <c r="W700" s="15" t="str">
        <f t="shared" si="4"/>
        <v/>
      </c>
      <c r="X700" s="11">
        <f t="shared" si="5"/>
        <v>1508.188</v>
      </c>
      <c r="Y700" s="14">
        <f t="shared" si="6"/>
        <v>-1.392</v>
      </c>
      <c r="Z700" s="25"/>
      <c r="AA700" s="21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</row>
    <row r="701">
      <c r="A701" s="7"/>
      <c r="B701" s="7"/>
      <c r="C701" s="7"/>
      <c r="D701" s="7"/>
      <c r="E701" s="7"/>
      <c r="F701" s="7" t="s">
        <v>31</v>
      </c>
      <c r="G701" s="8">
        <v>6012.0</v>
      </c>
      <c r="H701" s="9">
        <v>39.447900833333335</v>
      </c>
      <c r="I701" s="9">
        <v>-112.94937</v>
      </c>
      <c r="J701" s="13">
        <v>1508.86</v>
      </c>
      <c r="K701" s="10">
        <v>-3498.803</v>
      </c>
      <c r="L701" s="10">
        <v>16767.274</v>
      </c>
      <c r="M701" s="10">
        <v>115.763</v>
      </c>
      <c r="N701" s="10">
        <v>-3498.8</v>
      </c>
      <c r="O701" s="10">
        <v>16767.261</v>
      </c>
      <c r="P701" s="10">
        <v>110.513</v>
      </c>
      <c r="Q701" s="13">
        <v>1522.19</v>
      </c>
      <c r="R701" s="13">
        <v>-19.579</v>
      </c>
      <c r="S701" s="12">
        <v>0.89</v>
      </c>
      <c r="T701" s="13">
        <f t="shared" si="8"/>
        <v>1503.501</v>
      </c>
      <c r="U701" s="14">
        <f t="shared" si="2"/>
        <v>5.359</v>
      </c>
      <c r="V701" s="14">
        <f t="shared" si="3"/>
        <v>1.015051748</v>
      </c>
      <c r="W701" s="15" t="str">
        <f t="shared" si="4"/>
        <v/>
      </c>
      <c r="X701" s="11">
        <f t="shared" si="5"/>
        <v>1504.308</v>
      </c>
      <c r="Y701" s="14">
        <f t="shared" si="6"/>
        <v>-0.807</v>
      </c>
      <c r="Z701" s="25"/>
      <c r="AA701" s="21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</row>
    <row r="702">
      <c r="A702" s="7"/>
      <c r="B702" s="7"/>
      <c r="C702" s="7"/>
      <c r="D702" s="7"/>
      <c r="E702" s="7"/>
      <c r="F702" s="7" t="s">
        <v>31</v>
      </c>
      <c r="G702" s="8">
        <v>6013.0</v>
      </c>
      <c r="H702" s="9">
        <v>39.45268472222222</v>
      </c>
      <c r="I702" s="9">
        <v>-112.94549888888889</v>
      </c>
      <c r="J702" s="13">
        <v>1505.36</v>
      </c>
      <c r="K702" s="10">
        <v>-3165.299</v>
      </c>
      <c r="L702" s="10">
        <v>17298.386</v>
      </c>
      <c r="M702" s="10">
        <v>111.015</v>
      </c>
      <c r="N702" s="10">
        <v>-3165.297</v>
      </c>
      <c r="O702" s="10">
        <v>17298.371</v>
      </c>
      <c r="P702" s="10">
        <v>105.605</v>
      </c>
      <c r="Q702" s="13">
        <v>1518.52</v>
      </c>
      <c r="R702" s="13">
        <v>-19.572</v>
      </c>
      <c r="S702" s="12">
        <v>0.89</v>
      </c>
      <c r="T702" s="13">
        <f t="shared" si="8"/>
        <v>1499.838</v>
      </c>
      <c r="U702" s="14">
        <f t="shared" si="2"/>
        <v>5.522</v>
      </c>
      <c r="V702" s="14">
        <f t="shared" si="3"/>
        <v>1.220074592</v>
      </c>
      <c r="W702" s="15" t="str">
        <f t="shared" si="4"/>
        <v/>
      </c>
      <c r="X702" s="11">
        <f t="shared" si="5"/>
        <v>1500.808</v>
      </c>
      <c r="Y702" s="14">
        <f t="shared" si="6"/>
        <v>-0.97</v>
      </c>
      <c r="Z702" s="25"/>
      <c r="AA702" s="21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</row>
    <row r="703">
      <c r="A703" s="7"/>
      <c r="B703" s="7"/>
      <c r="C703" s="7"/>
      <c r="D703" s="7"/>
      <c r="E703" s="7"/>
      <c r="F703" s="7" t="s">
        <v>31</v>
      </c>
      <c r="G703" s="8">
        <v>6014.0</v>
      </c>
      <c r="H703" s="9">
        <v>39.45787472222222</v>
      </c>
      <c r="I703" s="9">
        <v>-112.9424325</v>
      </c>
      <c r="J703" s="13">
        <v>1502.08</v>
      </c>
      <c r="K703" s="10">
        <v>-2901.124</v>
      </c>
      <c r="L703" s="10">
        <v>17874.623</v>
      </c>
      <c r="M703" s="10">
        <v>106.267</v>
      </c>
      <c r="N703" s="10">
        <v>-2901.122</v>
      </c>
      <c r="O703" s="10">
        <v>17874.609</v>
      </c>
      <c r="P703" s="10">
        <v>101.107</v>
      </c>
      <c r="Q703" s="13">
        <v>1515.48</v>
      </c>
      <c r="R703" s="13">
        <v>-19.564</v>
      </c>
      <c r="S703" s="12">
        <v>0.89</v>
      </c>
      <c r="T703" s="13">
        <f t="shared" si="8"/>
        <v>1496.806</v>
      </c>
      <c r="U703" s="14">
        <f t="shared" si="2"/>
        <v>5.274</v>
      </c>
      <c r="V703" s="14">
        <f t="shared" si="3"/>
        <v>0.9081379953</v>
      </c>
      <c r="W703" s="15" t="str">
        <f t="shared" si="4"/>
        <v/>
      </c>
      <c r="X703" s="11">
        <f t="shared" si="5"/>
        <v>1497.528</v>
      </c>
      <c r="Y703" s="14">
        <f t="shared" si="6"/>
        <v>-0.722</v>
      </c>
      <c r="Z703" s="25"/>
      <c r="AA703" s="21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</row>
    <row r="704">
      <c r="A704" s="7"/>
      <c r="B704" s="7"/>
      <c r="C704" s="7"/>
      <c r="D704" s="7"/>
      <c r="E704" s="7"/>
      <c r="F704" s="7" t="s">
        <v>31</v>
      </c>
      <c r="G704" s="8">
        <v>6109.0</v>
      </c>
      <c r="H704" s="9">
        <v>39.42861194444444</v>
      </c>
      <c r="I704" s="9">
        <v>-112.9693675</v>
      </c>
      <c r="J704" s="13">
        <v>1527.53</v>
      </c>
      <c r="K704" s="10">
        <v>-5222.044</v>
      </c>
      <c r="L704" s="10">
        <v>14626.241</v>
      </c>
      <c r="M704" s="10">
        <v>138.538</v>
      </c>
      <c r="N704" s="10">
        <v>-5222.041</v>
      </c>
      <c r="O704" s="10">
        <v>14626.235</v>
      </c>
      <c r="P704" s="10">
        <v>135.748</v>
      </c>
      <c r="Q704" s="13">
        <v>1543.34</v>
      </c>
      <c r="R704" s="13">
        <v>-19.603</v>
      </c>
      <c r="S704" s="12">
        <v>0.89</v>
      </c>
      <c r="T704" s="13">
        <f t="shared" si="8"/>
        <v>1524.627</v>
      </c>
      <c r="U704" s="14">
        <f t="shared" si="2"/>
        <v>2.903</v>
      </c>
      <c r="V704" s="14">
        <f t="shared" si="3"/>
        <v>-2.074126807</v>
      </c>
      <c r="W704" s="15" t="str">
        <f t="shared" si="4"/>
        <v/>
      </c>
      <c r="X704" s="11">
        <f t="shared" si="5"/>
        <v>1522.978</v>
      </c>
      <c r="Y704" s="14">
        <f t="shared" si="6"/>
        <v>1.649</v>
      </c>
      <c r="Z704" s="25"/>
      <c r="AA704" s="21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</row>
    <row r="705">
      <c r="A705" s="7"/>
      <c r="B705" s="7"/>
      <c r="C705" s="7"/>
      <c r="D705" s="7"/>
      <c r="E705" s="7"/>
      <c r="F705" s="7" t="s">
        <v>31</v>
      </c>
      <c r="G705" s="8">
        <v>6110.0</v>
      </c>
      <c r="H705" s="9">
        <v>39.43107555555556</v>
      </c>
      <c r="I705" s="9">
        <v>-112.96286666666667</v>
      </c>
      <c r="J705" s="13">
        <v>1524.08</v>
      </c>
      <c r="K705" s="10">
        <v>-4661.999</v>
      </c>
      <c r="L705" s="10">
        <v>14899.505</v>
      </c>
      <c r="M705" s="10">
        <v>134.888</v>
      </c>
      <c r="N705" s="10">
        <v>-4661.997</v>
      </c>
      <c r="O705" s="10">
        <v>14899.5</v>
      </c>
      <c r="P705" s="10">
        <v>132.928</v>
      </c>
      <c r="Q705" s="13">
        <v>1540.72</v>
      </c>
      <c r="R705" s="13">
        <v>-19.604</v>
      </c>
      <c r="S705" s="12">
        <v>0.89</v>
      </c>
      <c r="T705" s="13">
        <f t="shared" si="8"/>
        <v>1522.006</v>
      </c>
      <c r="U705" s="14">
        <f t="shared" si="2"/>
        <v>2.074</v>
      </c>
      <c r="V705" s="14">
        <f t="shared" si="3"/>
        <v>-3.11685035</v>
      </c>
      <c r="W705" s="15" t="str">
        <f t="shared" si="4"/>
        <v>✔</v>
      </c>
      <c r="X705" s="11">
        <f t="shared" si="5"/>
        <v>1519.528</v>
      </c>
      <c r="Y705" s="14">
        <f t="shared" si="6"/>
        <v>2.478</v>
      </c>
      <c r="Z705" s="25"/>
      <c r="AA705" s="21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</row>
    <row r="706">
      <c r="A706" s="7"/>
      <c r="B706" s="7"/>
      <c r="C706" s="7"/>
      <c r="D706" s="7"/>
      <c r="E706" s="7"/>
      <c r="F706" s="7" t="s">
        <v>31</v>
      </c>
      <c r="G706" s="8">
        <v>6111.0</v>
      </c>
      <c r="H706" s="9">
        <v>39.43414472222222</v>
      </c>
      <c r="I706" s="9">
        <v>-112.95674583333333</v>
      </c>
      <c r="J706" s="13">
        <v>1518.43</v>
      </c>
      <c r="K706" s="10">
        <v>-4134.68</v>
      </c>
      <c r="L706" s="10">
        <v>15240.006</v>
      </c>
      <c r="M706" s="10">
        <v>128.794</v>
      </c>
      <c r="N706" s="10">
        <v>-4134.678</v>
      </c>
      <c r="O706" s="10">
        <v>15239.997</v>
      </c>
      <c r="P706" s="10">
        <v>124.984</v>
      </c>
      <c r="Q706" s="13">
        <v>1533.22</v>
      </c>
      <c r="R706" s="13">
        <v>-19.603</v>
      </c>
      <c r="S706" s="12">
        <v>0.89</v>
      </c>
      <c r="T706" s="13">
        <f t="shared" si="8"/>
        <v>1514.507</v>
      </c>
      <c r="U706" s="14">
        <f t="shared" si="2"/>
        <v>3.923</v>
      </c>
      <c r="V706" s="14">
        <f t="shared" si="3"/>
        <v>-0.7911617716</v>
      </c>
      <c r="W706" s="15" t="str">
        <f t="shared" si="4"/>
        <v/>
      </c>
      <c r="X706" s="11">
        <f t="shared" si="5"/>
        <v>1513.878</v>
      </c>
      <c r="Y706" s="14">
        <f t="shared" si="6"/>
        <v>0.629</v>
      </c>
      <c r="Z706" s="25"/>
      <c r="AA706" s="21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</row>
    <row r="707">
      <c r="A707" s="7"/>
      <c r="B707" s="7"/>
      <c r="C707" s="7"/>
      <c r="D707" s="7"/>
      <c r="E707" s="7"/>
      <c r="F707" s="7" t="s">
        <v>31</v>
      </c>
      <c r="G707" s="8">
        <v>6112.0</v>
      </c>
      <c r="H707" s="9">
        <v>39.43780611111111</v>
      </c>
      <c r="I707" s="9">
        <v>-112.95111138888889</v>
      </c>
      <c r="J707" s="13">
        <v>1510.86</v>
      </c>
      <c r="K707" s="10">
        <v>-3649.227</v>
      </c>
      <c r="L707" s="10">
        <v>15646.299</v>
      </c>
      <c r="M707" s="10">
        <v>120.534</v>
      </c>
      <c r="N707" s="10">
        <v>-3649.224</v>
      </c>
      <c r="O707" s="10">
        <v>15646.287</v>
      </c>
      <c r="P707" s="10">
        <v>115.724</v>
      </c>
      <c r="Q707" s="13">
        <v>1524.65</v>
      </c>
      <c r="R707" s="13">
        <v>-19.6</v>
      </c>
      <c r="S707" s="12">
        <v>0.89</v>
      </c>
      <c r="T707" s="13">
        <f t="shared" si="8"/>
        <v>1505.94</v>
      </c>
      <c r="U707" s="14">
        <f t="shared" si="2"/>
        <v>4.92</v>
      </c>
      <c r="V707" s="14">
        <f t="shared" si="3"/>
        <v>0.4628736597</v>
      </c>
      <c r="W707" s="15" t="str">
        <f t="shared" si="4"/>
        <v/>
      </c>
      <c r="X707" s="11">
        <f t="shared" si="5"/>
        <v>1506.308</v>
      </c>
      <c r="Y707" s="14">
        <f t="shared" si="6"/>
        <v>-0.368</v>
      </c>
      <c r="Z707" s="25"/>
      <c r="AA707" s="21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</row>
    <row r="708">
      <c r="A708" s="7"/>
      <c r="B708" s="7"/>
      <c r="C708" s="7"/>
      <c r="D708" s="7"/>
      <c r="E708" s="7"/>
      <c r="F708" s="7" t="s">
        <v>31</v>
      </c>
      <c r="G708" s="8">
        <v>6113.0</v>
      </c>
      <c r="H708" s="9">
        <v>39.44188333333334</v>
      </c>
      <c r="I708" s="9">
        <v>-112.94614777777778</v>
      </c>
      <c r="J708" s="13">
        <v>1505.98</v>
      </c>
      <c r="K708" s="10">
        <v>-3221.671</v>
      </c>
      <c r="L708" s="10">
        <v>16098.849</v>
      </c>
      <c r="M708" s="10">
        <v>114.755</v>
      </c>
      <c r="N708" s="10">
        <v>-3221.668</v>
      </c>
      <c r="O708" s="10">
        <v>16098.834</v>
      </c>
      <c r="P708" s="10">
        <v>108.655</v>
      </c>
      <c r="Q708" s="13">
        <v>1518.48</v>
      </c>
      <c r="R708" s="13">
        <v>-19.596</v>
      </c>
      <c r="S708" s="12">
        <v>0.89</v>
      </c>
      <c r="T708" s="13">
        <f t="shared" si="8"/>
        <v>1499.774</v>
      </c>
      <c r="U708" s="14">
        <f t="shared" si="2"/>
        <v>6.206</v>
      </c>
      <c r="V708" s="14">
        <f t="shared" si="3"/>
        <v>2.080415851</v>
      </c>
      <c r="W708" s="15" t="str">
        <f t="shared" si="4"/>
        <v/>
      </c>
      <c r="X708" s="11">
        <f t="shared" si="5"/>
        <v>1501.428</v>
      </c>
      <c r="Y708" s="14">
        <f t="shared" si="6"/>
        <v>-1.654</v>
      </c>
      <c r="Z708" s="25"/>
      <c r="AA708" s="21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</row>
    <row r="709">
      <c r="A709" s="7"/>
      <c r="B709" s="7"/>
      <c r="C709" s="7"/>
      <c r="D709" s="7"/>
      <c r="E709" s="7"/>
      <c r="F709" s="7" t="s">
        <v>31</v>
      </c>
      <c r="G709" s="8">
        <v>6114.0</v>
      </c>
      <c r="H709" s="9">
        <v>39.44643388888889</v>
      </c>
      <c r="I709" s="9">
        <v>-112.94179861111111</v>
      </c>
      <c r="J709" s="13">
        <v>1497.59</v>
      </c>
      <c r="K709" s="10">
        <v>-2847.01</v>
      </c>
      <c r="L709" s="10">
        <v>16604.069</v>
      </c>
      <c r="M709" s="10">
        <v>105.244</v>
      </c>
      <c r="N709" s="10">
        <v>-2847.008</v>
      </c>
      <c r="O709" s="10">
        <v>16604.056</v>
      </c>
      <c r="P709" s="10">
        <v>100.324</v>
      </c>
      <c r="Q709" s="13">
        <v>1511.26</v>
      </c>
      <c r="R709" s="13">
        <v>-19.59</v>
      </c>
      <c r="S709" s="12">
        <v>0.89</v>
      </c>
      <c r="T709" s="13">
        <f t="shared" si="8"/>
        <v>1492.56</v>
      </c>
      <c r="U709" s="14">
        <f t="shared" si="2"/>
        <v>5.03</v>
      </c>
      <c r="V709" s="14">
        <f t="shared" si="3"/>
        <v>0.601232634</v>
      </c>
      <c r="W709" s="15" t="str">
        <f t="shared" si="4"/>
        <v/>
      </c>
      <c r="X709" s="11">
        <f t="shared" si="5"/>
        <v>1493.038</v>
      </c>
      <c r="Y709" s="14">
        <f t="shared" si="6"/>
        <v>-0.478</v>
      </c>
      <c r="Z709" s="25"/>
      <c r="AA709" s="21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</row>
    <row r="710">
      <c r="A710" s="7"/>
      <c r="B710" s="7"/>
      <c r="C710" s="7"/>
      <c r="D710" s="7"/>
      <c r="E710" s="7"/>
      <c r="F710" s="7" t="s">
        <v>31</v>
      </c>
      <c r="G710" s="8">
        <v>6116.0</v>
      </c>
      <c r="H710" s="9">
        <v>39.45655361111111</v>
      </c>
      <c r="I710" s="9">
        <v>-112.93527444444445</v>
      </c>
      <c r="J710" s="13">
        <v>1489.26</v>
      </c>
      <c r="K710" s="10">
        <v>-2284.876</v>
      </c>
      <c r="L710" s="10">
        <v>17727.685</v>
      </c>
      <c r="M710" s="10">
        <v>94.109</v>
      </c>
      <c r="N710" s="10">
        <v>-2284.874</v>
      </c>
      <c r="O710" s="10">
        <v>17727.668</v>
      </c>
      <c r="P710" s="10">
        <v>87.739</v>
      </c>
      <c r="Q710" s="13">
        <v>1501.46</v>
      </c>
      <c r="R710" s="13">
        <v>-19.574</v>
      </c>
      <c r="S710" s="12">
        <v>0.89</v>
      </c>
      <c r="T710" s="13">
        <f t="shared" si="8"/>
        <v>1482.776</v>
      </c>
      <c r="U710" s="14">
        <f t="shared" si="2"/>
        <v>6.484</v>
      </c>
      <c r="V710" s="14">
        <f t="shared" si="3"/>
        <v>2.430086713</v>
      </c>
      <c r="W710" s="15" t="str">
        <f t="shared" si="4"/>
        <v/>
      </c>
      <c r="X710" s="11">
        <f t="shared" si="5"/>
        <v>1484.708</v>
      </c>
      <c r="Y710" s="14">
        <f t="shared" si="6"/>
        <v>-1.932</v>
      </c>
      <c r="Z710" s="25"/>
      <c r="AA710" s="21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</row>
    <row r="711">
      <c r="A711" s="21"/>
      <c r="B711" s="21"/>
      <c r="C711" s="21"/>
      <c r="D711" s="21"/>
      <c r="E711" s="21"/>
      <c r="F711" s="21" t="s">
        <v>33</v>
      </c>
      <c r="G711" s="21">
        <v>6407.0</v>
      </c>
      <c r="H711" s="26">
        <v>39.472843</v>
      </c>
      <c r="I711" s="26">
        <v>-112.83957</v>
      </c>
      <c r="J711" s="21">
        <v>1384.0</v>
      </c>
      <c r="K711" s="11">
        <v>5952.508</v>
      </c>
      <c r="L711" s="11">
        <v>19538.194</v>
      </c>
      <c r="M711" s="11">
        <v>-18.819</v>
      </c>
      <c r="N711" s="11">
        <v>5952.507</v>
      </c>
      <c r="O711" s="11">
        <v>19538.191</v>
      </c>
      <c r="P711" s="11">
        <v>-19.749</v>
      </c>
      <c r="Q711" s="11">
        <v>1401.64</v>
      </c>
      <c r="R711" s="11">
        <v>-19.57</v>
      </c>
      <c r="S711" s="12">
        <v>0.89</v>
      </c>
      <c r="T711" s="14">
        <f t="shared" ref="T711:T838" si="9">$Q711+$R711+1</f>
        <v>1383.07</v>
      </c>
      <c r="U711" s="14">
        <f t="shared" si="2"/>
        <v>0.93</v>
      </c>
      <c r="V711" s="14">
        <f t="shared" si="3"/>
        <v>-4.555783683</v>
      </c>
      <c r="W711" s="15" t="str">
        <f t="shared" si="4"/>
        <v>✔</v>
      </c>
      <c r="X711" s="11">
        <f t="shared" si="5"/>
        <v>1379.448</v>
      </c>
      <c r="Y711" s="14">
        <f t="shared" si="6"/>
        <v>3.622</v>
      </c>
      <c r="Z711" s="25"/>
      <c r="AA711" s="21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</row>
    <row r="712">
      <c r="A712" s="21"/>
      <c r="B712" s="21"/>
      <c r="C712" s="21"/>
      <c r="D712" s="21"/>
      <c r="E712" s="21"/>
      <c r="F712" s="21" t="s">
        <v>33</v>
      </c>
      <c r="G712" s="21">
        <v>6408.0</v>
      </c>
      <c r="H712" s="26">
        <v>39.473265</v>
      </c>
      <c r="I712" s="26">
        <v>-112.815397</v>
      </c>
      <c r="J712" s="21">
        <v>1379.54</v>
      </c>
      <c r="K712" s="11">
        <v>8032.913</v>
      </c>
      <c r="L712" s="11">
        <v>19586.911</v>
      </c>
      <c r="M712" s="11">
        <v>-25.706</v>
      </c>
      <c r="N712" s="11">
        <v>8032.908</v>
      </c>
      <c r="O712" s="11">
        <v>19586.898</v>
      </c>
      <c r="P712" s="11">
        <v>-29.916</v>
      </c>
      <c r="Q712" s="11">
        <v>1393.9</v>
      </c>
      <c r="R712" s="11">
        <v>-19.57</v>
      </c>
      <c r="S712" s="12">
        <v>0.89</v>
      </c>
      <c r="T712" s="14">
        <f t="shared" si="9"/>
        <v>1375.33</v>
      </c>
      <c r="U712" s="14">
        <f t="shared" si="2"/>
        <v>4.21</v>
      </c>
      <c r="V712" s="14">
        <f t="shared" si="3"/>
        <v>-0.4301706294</v>
      </c>
      <c r="W712" s="15" t="str">
        <f t="shared" si="4"/>
        <v/>
      </c>
      <c r="X712" s="11">
        <f t="shared" si="5"/>
        <v>1374.988</v>
      </c>
      <c r="Y712" s="14">
        <f t="shared" si="6"/>
        <v>0.342</v>
      </c>
      <c r="Z712" s="25"/>
      <c r="AA712" s="21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</row>
    <row r="713">
      <c r="A713" s="21"/>
      <c r="B713" s="21"/>
      <c r="C713" s="21"/>
      <c r="D713" s="21"/>
      <c r="E713" s="21"/>
      <c r="F713" s="21" t="s">
        <v>33</v>
      </c>
      <c r="G713" s="21">
        <v>6409.0</v>
      </c>
      <c r="H713" s="26">
        <v>39.47362</v>
      </c>
      <c r="I713" s="26">
        <v>-112.790888</v>
      </c>
      <c r="J713" s="21">
        <v>1376.65</v>
      </c>
      <c r="K713" s="11">
        <v>10142.219</v>
      </c>
      <c r="L713" s="11">
        <v>19628.786</v>
      </c>
      <c r="M713" s="11">
        <v>-31.726</v>
      </c>
      <c r="N713" s="11">
        <v>10142.213</v>
      </c>
      <c r="O713" s="11">
        <v>19628.774</v>
      </c>
      <c r="P713" s="11">
        <v>-35.705</v>
      </c>
      <c r="Q713" s="11">
        <v>1391.23</v>
      </c>
      <c r="R713" s="11">
        <v>-19.56</v>
      </c>
      <c r="S713" s="12">
        <v>0.89</v>
      </c>
      <c r="T713" s="14">
        <f t="shared" si="9"/>
        <v>1372.67</v>
      </c>
      <c r="U713" s="14">
        <f t="shared" si="2"/>
        <v>3.98</v>
      </c>
      <c r="V713" s="14">
        <f t="shared" si="3"/>
        <v>-0.7194666667</v>
      </c>
      <c r="W713" s="15" t="str">
        <f t="shared" si="4"/>
        <v/>
      </c>
      <c r="X713" s="11">
        <f t="shared" si="5"/>
        <v>1372.098</v>
      </c>
      <c r="Y713" s="14">
        <f t="shared" si="6"/>
        <v>0.572</v>
      </c>
      <c r="Z713" s="25"/>
      <c r="AA713" s="21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</row>
    <row r="714">
      <c r="A714" s="21"/>
      <c r="B714" s="21"/>
      <c r="C714" s="21"/>
      <c r="D714" s="21"/>
      <c r="E714" s="21"/>
      <c r="F714" s="21" t="s">
        <v>33</v>
      </c>
      <c r="G714" s="21">
        <v>6506.0</v>
      </c>
      <c r="H714" s="26">
        <v>39.491196</v>
      </c>
      <c r="I714" s="26">
        <v>-112.864198</v>
      </c>
      <c r="J714" s="21">
        <v>1393.72</v>
      </c>
      <c r="K714" s="11">
        <v>3831.885</v>
      </c>
      <c r="L714" s="11">
        <v>21574.963</v>
      </c>
      <c r="M714" s="11">
        <v>-14.055</v>
      </c>
      <c r="N714" s="11">
        <v>3831.883</v>
      </c>
      <c r="O714" s="11">
        <v>21574.949</v>
      </c>
      <c r="P714" s="11">
        <v>-18.275</v>
      </c>
      <c r="Q714" s="11">
        <v>1408.04</v>
      </c>
      <c r="R714" s="11">
        <v>-19.54</v>
      </c>
      <c r="S714" s="12">
        <v>0.89</v>
      </c>
      <c r="T714" s="14">
        <f t="shared" si="9"/>
        <v>1389.5</v>
      </c>
      <c r="U714" s="14">
        <f t="shared" si="2"/>
        <v>4.22</v>
      </c>
      <c r="V714" s="14">
        <f t="shared" si="3"/>
        <v>-0.4175925408</v>
      </c>
      <c r="W714" s="15" t="str">
        <f t="shared" si="4"/>
        <v/>
      </c>
      <c r="X714" s="11">
        <f t="shared" si="5"/>
        <v>1389.168</v>
      </c>
      <c r="Y714" s="14">
        <f t="shared" si="6"/>
        <v>0.332</v>
      </c>
      <c r="Z714" s="25"/>
      <c r="AA714" s="21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</row>
    <row r="715">
      <c r="A715" s="21"/>
      <c r="B715" s="21"/>
      <c r="C715" s="21"/>
      <c r="D715" s="21"/>
      <c r="E715" s="21"/>
      <c r="F715" s="21" t="s">
        <v>33</v>
      </c>
      <c r="G715" s="21">
        <v>6507.0</v>
      </c>
      <c r="H715" s="26">
        <v>39.491559</v>
      </c>
      <c r="I715" s="26">
        <v>-112.840037</v>
      </c>
      <c r="J715" s="21">
        <v>1384.07</v>
      </c>
      <c r="K715" s="11">
        <v>5910.731</v>
      </c>
      <c r="L715" s="11">
        <v>21616.542</v>
      </c>
      <c r="M715" s="11">
        <v>-25.432</v>
      </c>
      <c r="N715" s="11">
        <v>5910.729</v>
      </c>
      <c r="O715" s="11">
        <v>21616.538</v>
      </c>
      <c r="P715" s="11">
        <v>-26.742</v>
      </c>
      <c r="Q715" s="11">
        <v>1401.3</v>
      </c>
      <c r="R715" s="11">
        <v>-19.54</v>
      </c>
      <c r="S715" s="12">
        <v>0.89</v>
      </c>
      <c r="T715" s="14">
        <f t="shared" si="9"/>
        <v>1382.76</v>
      </c>
      <c r="U715" s="14">
        <f t="shared" si="2"/>
        <v>1.31</v>
      </c>
      <c r="V715" s="14">
        <f t="shared" si="3"/>
        <v>-4.077816317</v>
      </c>
      <c r="W715" s="15" t="str">
        <f t="shared" si="4"/>
        <v>✔</v>
      </c>
      <c r="X715" s="11">
        <f t="shared" si="5"/>
        <v>1379.518</v>
      </c>
      <c r="Y715" s="14">
        <f t="shared" si="6"/>
        <v>3.242</v>
      </c>
      <c r="Z715" s="25"/>
      <c r="AA715" s="21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</row>
    <row r="716">
      <c r="A716" s="21"/>
      <c r="B716" s="21"/>
      <c r="C716" s="21"/>
      <c r="D716" s="21"/>
      <c r="E716" s="21"/>
      <c r="F716" s="21" t="s">
        <v>33</v>
      </c>
      <c r="G716" s="21">
        <v>6508.0</v>
      </c>
      <c r="H716" s="26">
        <v>39.492001</v>
      </c>
      <c r="I716" s="26">
        <v>-112.815884</v>
      </c>
      <c r="J716" s="21">
        <v>1380.74</v>
      </c>
      <c r="K716" s="11">
        <v>7988.857</v>
      </c>
      <c r="L716" s="11">
        <v>21667.47</v>
      </c>
      <c r="M716" s="11">
        <v>-31.196</v>
      </c>
      <c r="N716" s="11">
        <v>7988.853</v>
      </c>
      <c r="O716" s="11">
        <v>21667.457</v>
      </c>
      <c r="P716" s="11">
        <v>-34.876</v>
      </c>
      <c r="Q716" s="11">
        <v>1395.59</v>
      </c>
      <c r="R716" s="11">
        <v>-19.53</v>
      </c>
      <c r="S716" s="12">
        <v>0.89</v>
      </c>
      <c r="T716" s="14">
        <f t="shared" si="9"/>
        <v>1377.06</v>
      </c>
      <c r="U716" s="14">
        <f t="shared" si="2"/>
        <v>3.68</v>
      </c>
      <c r="V716" s="14">
        <f t="shared" si="3"/>
        <v>-1.096809324</v>
      </c>
      <c r="W716" s="15" t="str">
        <f t="shared" si="4"/>
        <v/>
      </c>
      <c r="X716" s="11">
        <f t="shared" si="5"/>
        <v>1376.188</v>
      </c>
      <c r="Y716" s="14">
        <f t="shared" si="6"/>
        <v>0.872</v>
      </c>
      <c r="Z716" s="25"/>
      <c r="AA716" s="21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</row>
    <row r="717">
      <c r="A717" s="21"/>
      <c r="B717" s="21"/>
      <c r="C717" s="21"/>
      <c r="D717" s="21"/>
      <c r="E717" s="21"/>
      <c r="F717" s="21" t="s">
        <v>33</v>
      </c>
      <c r="G717" s="21">
        <v>6509.0</v>
      </c>
      <c r="H717" s="26">
        <v>39.492343</v>
      </c>
      <c r="I717" s="26">
        <v>-112.791709</v>
      </c>
      <c r="J717" s="21">
        <v>1376.92</v>
      </c>
      <c r="K717" s="11">
        <v>10068.861</v>
      </c>
      <c r="L717" s="11">
        <v>21707.848</v>
      </c>
      <c r="M717" s="11">
        <v>-38.093</v>
      </c>
      <c r="N717" s="11">
        <v>10068.854</v>
      </c>
      <c r="O717" s="11">
        <v>21707.834</v>
      </c>
      <c r="P717" s="11">
        <v>-42.333</v>
      </c>
      <c r="Q717" s="11">
        <v>1391.2</v>
      </c>
      <c r="R717" s="11">
        <v>-19.52</v>
      </c>
      <c r="S717" s="12">
        <v>0.89</v>
      </c>
      <c r="T717" s="14">
        <f t="shared" si="9"/>
        <v>1372.68</v>
      </c>
      <c r="U717" s="14">
        <f t="shared" si="2"/>
        <v>4.24</v>
      </c>
      <c r="V717" s="14">
        <f t="shared" si="3"/>
        <v>-0.3924363636</v>
      </c>
      <c r="W717" s="15" t="str">
        <f t="shared" si="4"/>
        <v/>
      </c>
      <c r="X717" s="11">
        <f t="shared" si="5"/>
        <v>1372.368</v>
      </c>
      <c r="Y717" s="14">
        <f t="shared" si="6"/>
        <v>0.312</v>
      </c>
      <c r="Z717" s="25"/>
      <c r="AA717" s="21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</row>
    <row r="718">
      <c r="A718" s="21"/>
      <c r="B718" s="21"/>
      <c r="C718" s="21"/>
      <c r="D718" s="21"/>
      <c r="E718" s="21"/>
      <c r="F718" s="21" t="s">
        <v>33</v>
      </c>
      <c r="G718" s="21">
        <v>6510.0</v>
      </c>
      <c r="H718" s="26">
        <v>39.492723</v>
      </c>
      <c r="I718" s="26">
        <v>-112.76753</v>
      </c>
      <c r="J718" s="21">
        <v>1375.81</v>
      </c>
      <c r="K718" s="11">
        <v>12149.182</v>
      </c>
      <c r="L718" s="11">
        <v>21753.012</v>
      </c>
      <c r="M718" s="11">
        <v>-42.975</v>
      </c>
      <c r="N718" s="11">
        <v>12149.176</v>
      </c>
      <c r="O718" s="11">
        <v>21753.0</v>
      </c>
      <c r="P718" s="11">
        <v>-46.315</v>
      </c>
      <c r="Q718" s="11">
        <v>1390.99</v>
      </c>
      <c r="R718" s="11">
        <v>-19.52</v>
      </c>
      <c r="S718" s="12">
        <v>0.89</v>
      </c>
      <c r="T718" s="14">
        <f t="shared" si="9"/>
        <v>1372.47</v>
      </c>
      <c r="U718" s="14">
        <f t="shared" si="2"/>
        <v>3.34</v>
      </c>
      <c r="V718" s="14">
        <f t="shared" si="3"/>
        <v>-1.524464336</v>
      </c>
      <c r="W718" s="15" t="str">
        <f t="shared" si="4"/>
        <v/>
      </c>
      <c r="X718" s="11">
        <f t="shared" si="5"/>
        <v>1371.258</v>
      </c>
      <c r="Y718" s="14">
        <f t="shared" si="6"/>
        <v>1.212</v>
      </c>
      <c r="Z718" s="25"/>
      <c r="AA718" s="21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</row>
    <row r="719">
      <c r="A719" s="21"/>
      <c r="B719" s="21"/>
      <c r="C719" s="21"/>
      <c r="D719" s="21"/>
      <c r="E719" s="21"/>
      <c r="F719" s="21" t="s">
        <v>33</v>
      </c>
      <c r="G719" s="21">
        <v>6511.0</v>
      </c>
      <c r="H719" s="26">
        <v>39.493351</v>
      </c>
      <c r="I719" s="26">
        <v>-112.743541</v>
      </c>
      <c r="J719" s="21">
        <v>1377.94</v>
      </c>
      <c r="K719" s="11">
        <v>14213.087</v>
      </c>
      <c r="L719" s="11">
        <v>21826.252</v>
      </c>
      <c r="M719" s="11">
        <v>-45.355</v>
      </c>
      <c r="N719" s="11">
        <v>14213.079</v>
      </c>
      <c r="O719" s="11">
        <v>21826.239</v>
      </c>
      <c r="P719" s="11">
        <v>-49.295</v>
      </c>
      <c r="Q719" s="11">
        <v>1392.51</v>
      </c>
      <c r="R719" s="11">
        <v>-19.51</v>
      </c>
      <c r="S719" s="12">
        <v>0.89</v>
      </c>
      <c r="T719" s="14">
        <f t="shared" si="9"/>
        <v>1374</v>
      </c>
      <c r="U719" s="14">
        <f t="shared" si="2"/>
        <v>3.94</v>
      </c>
      <c r="V719" s="14">
        <f t="shared" si="3"/>
        <v>-0.769779021</v>
      </c>
      <c r="W719" s="15" t="str">
        <f t="shared" si="4"/>
        <v/>
      </c>
      <c r="X719" s="11">
        <f t="shared" si="5"/>
        <v>1373.388</v>
      </c>
      <c r="Y719" s="14">
        <f t="shared" si="6"/>
        <v>0.612</v>
      </c>
      <c r="Z719" s="25"/>
      <c r="AA719" s="21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</row>
    <row r="720">
      <c r="A720" s="21"/>
      <c r="B720" s="21"/>
      <c r="C720" s="21"/>
      <c r="D720" s="21"/>
      <c r="E720" s="21"/>
      <c r="F720" s="21" t="s">
        <v>33</v>
      </c>
      <c r="G720" s="21">
        <v>6605.0</v>
      </c>
      <c r="H720" s="26">
        <v>39.50958</v>
      </c>
      <c r="I720" s="26">
        <v>-112.888904</v>
      </c>
      <c r="J720" s="21">
        <v>1408.04</v>
      </c>
      <c r="K720" s="11">
        <v>1705.661</v>
      </c>
      <c r="L720" s="11">
        <v>23615.779</v>
      </c>
      <c r="M720" s="11">
        <v>-6.061</v>
      </c>
      <c r="N720" s="11">
        <v>1705.66</v>
      </c>
      <c r="O720" s="11">
        <v>23615.762</v>
      </c>
      <c r="P720" s="11">
        <v>-10.701</v>
      </c>
      <c r="Q720" s="11">
        <v>1421.9</v>
      </c>
      <c r="R720" s="11">
        <v>-19.5</v>
      </c>
      <c r="S720" s="12">
        <v>0.89</v>
      </c>
      <c r="T720" s="14">
        <f t="shared" si="9"/>
        <v>1403.4</v>
      </c>
      <c r="U720" s="14">
        <f t="shared" si="2"/>
        <v>4.64</v>
      </c>
      <c r="V720" s="14">
        <f t="shared" si="3"/>
        <v>0.1106871795</v>
      </c>
      <c r="W720" s="15" t="str">
        <f t="shared" si="4"/>
        <v/>
      </c>
      <c r="X720" s="11">
        <f t="shared" si="5"/>
        <v>1403.488</v>
      </c>
      <c r="Y720" s="14">
        <f t="shared" si="6"/>
        <v>-0.088</v>
      </c>
      <c r="Z720" s="25"/>
      <c r="AA720" s="21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</row>
    <row r="721">
      <c r="A721" s="21"/>
      <c r="B721" s="21"/>
      <c r="C721" s="21"/>
      <c r="D721" s="21"/>
      <c r="E721" s="21"/>
      <c r="F721" s="21" t="s">
        <v>33</v>
      </c>
      <c r="G721" s="21">
        <v>6606.0</v>
      </c>
      <c r="H721" s="26">
        <v>39.509948</v>
      </c>
      <c r="I721" s="26">
        <v>-112.864708</v>
      </c>
      <c r="J721" s="21">
        <v>1386.3</v>
      </c>
      <c r="K721" s="11">
        <v>3786.981</v>
      </c>
      <c r="L721" s="11">
        <v>23657.299</v>
      </c>
      <c r="M721" s="11">
        <v>-28.85</v>
      </c>
      <c r="N721" s="11">
        <v>3786.979</v>
      </c>
      <c r="O721" s="11">
        <v>23657.286</v>
      </c>
      <c r="P721" s="11">
        <v>-32.44</v>
      </c>
      <c r="Q721" s="11">
        <v>1401.21</v>
      </c>
      <c r="R721" s="11">
        <v>-19.5</v>
      </c>
      <c r="S721" s="12">
        <v>0.89</v>
      </c>
      <c r="T721" s="14">
        <f t="shared" si="9"/>
        <v>1382.71</v>
      </c>
      <c r="U721" s="14">
        <f t="shared" si="2"/>
        <v>3.59</v>
      </c>
      <c r="V721" s="14">
        <f t="shared" si="3"/>
        <v>-1.210012121</v>
      </c>
      <c r="W721" s="15" t="str">
        <f t="shared" si="4"/>
        <v/>
      </c>
      <c r="X721" s="11">
        <f t="shared" si="5"/>
        <v>1381.748</v>
      </c>
      <c r="Y721" s="14">
        <f t="shared" si="6"/>
        <v>0.962</v>
      </c>
      <c r="Z721" s="25"/>
      <c r="AA721" s="21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</row>
    <row r="722">
      <c r="A722" s="21"/>
      <c r="B722" s="21"/>
      <c r="C722" s="21"/>
      <c r="D722" s="21"/>
      <c r="E722" s="21"/>
      <c r="F722" s="21" t="s">
        <v>33</v>
      </c>
      <c r="G722" s="21">
        <v>6607.0</v>
      </c>
      <c r="H722" s="26">
        <v>39.510335</v>
      </c>
      <c r="I722" s="26">
        <v>-112.840579</v>
      </c>
      <c r="J722" s="21">
        <v>1384.7</v>
      </c>
      <c r="K722" s="11">
        <v>5862.519</v>
      </c>
      <c r="L722" s="11">
        <v>23701.556</v>
      </c>
      <c r="M722" s="11">
        <v>-32.183</v>
      </c>
      <c r="N722" s="11">
        <v>5862.515</v>
      </c>
      <c r="O722" s="11">
        <v>23701.54</v>
      </c>
      <c r="P722" s="11">
        <v>-36.483</v>
      </c>
      <c r="Q722" s="11">
        <v>1398.9</v>
      </c>
      <c r="R722" s="11">
        <v>-19.5</v>
      </c>
      <c r="S722" s="12">
        <v>0.89</v>
      </c>
      <c r="T722" s="14">
        <f t="shared" si="9"/>
        <v>1380.4</v>
      </c>
      <c r="U722" s="14">
        <f t="shared" si="2"/>
        <v>4.3</v>
      </c>
      <c r="V722" s="14">
        <f t="shared" si="3"/>
        <v>-0.3169678322</v>
      </c>
      <c r="W722" s="15" t="str">
        <f t="shared" si="4"/>
        <v/>
      </c>
      <c r="X722" s="11">
        <f t="shared" si="5"/>
        <v>1380.148</v>
      </c>
      <c r="Y722" s="14">
        <f t="shared" si="6"/>
        <v>0.252</v>
      </c>
      <c r="Z722" s="25"/>
      <c r="AA722" s="21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</row>
    <row r="723">
      <c r="A723" s="21"/>
      <c r="B723" s="21"/>
      <c r="C723" s="21"/>
      <c r="D723" s="21"/>
      <c r="E723" s="21"/>
      <c r="F723" s="21" t="s">
        <v>33</v>
      </c>
      <c r="G723" s="21">
        <v>6608.0</v>
      </c>
      <c r="H723" s="26">
        <v>39.510717</v>
      </c>
      <c r="I723" s="26">
        <v>-112.816369</v>
      </c>
      <c r="J723" s="21">
        <v>1382.54</v>
      </c>
      <c r="K723" s="11">
        <v>7944.998</v>
      </c>
      <c r="L723" s="11">
        <v>23745.816</v>
      </c>
      <c r="M723" s="11">
        <v>-36.758</v>
      </c>
      <c r="N723" s="11">
        <v>7944.993</v>
      </c>
      <c r="O723" s="11">
        <v>23745.801</v>
      </c>
      <c r="P723" s="11">
        <v>-40.798</v>
      </c>
      <c r="Q723" s="11">
        <v>1396.99</v>
      </c>
      <c r="R723" s="11">
        <v>-19.49</v>
      </c>
      <c r="S723" s="12">
        <v>0.89</v>
      </c>
      <c r="T723" s="14">
        <f t="shared" si="9"/>
        <v>1378.5</v>
      </c>
      <c r="U723" s="14">
        <f t="shared" si="2"/>
        <v>4.04</v>
      </c>
      <c r="V723" s="14">
        <f t="shared" si="3"/>
        <v>-0.6439981352</v>
      </c>
      <c r="W723" s="15" t="str">
        <f t="shared" si="4"/>
        <v/>
      </c>
      <c r="X723" s="11">
        <f t="shared" si="5"/>
        <v>1377.988</v>
      </c>
      <c r="Y723" s="14">
        <f t="shared" si="6"/>
        <v>0.512</v>
      </c>
      <c r="Z723" s="25"/>
      <c r="AA723" s="21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</row>
    <row r="724">
      <c r="A724" s="21"/>
      <c r="B724" s="21"/>
      <c r="C724" s="21"/>
      <c r="D724" s="21"/>
      <c r="E724" s="21"/>
      <c r="F724" s="21" t="s">
        <v>33</v>
      </c>
      <c r="G724" s="21">
        <v>6609.0</v>
      </c>
      <c r="H724" s="26">
        <v>39.51101</v>
      </c>
      <c r="I724" s="26">
        <v>-112.792134</v>
      </c>
      <c r="J724" s="21">
        <v>1379.3</v>
      </c>
      <c r="K724" s="11">
        <v>10029.614</v>
      </c>
      <c r="L724" s="11">
        <v>23780.748</v>
      </c>
      <c r="M724" s="11">
        <v>-43.062</v>
      </c>
      <c r="N724" s="11">
        <v>10029.607</v>
      </c>
      <c r="O724" s="11">
        <v>23780.732</v>
      </c>
      <c r="P724" s="11">
        <v>-47.532</v>
      </c>
      <c r="Q724" s="11">
        <v>1393.31</v>
      </c>
      <c r="R724" s="11">
        <v>-19.48</v>
      </c>
      <c r="S724" s="12">
        <v>0.89</v>
      </c>
      <c r="T724" s="14">
        <f t="shared" si="9"/>
        <v>1374.83</v>
      </c>
      <c r="U724" s="14">
        <f t="shared" si="2"/>
        <v>4.47</v>
      </c>
      <c r="V724" s="14">
        <f t="shared" si="3"/>
        <v>-0.1031403263</v>
      </c>
      <c r="W724" s="15" t="str">
        <f t="shared" si="4"/>
        <v/>
      </c>
      <c r="X724" s="11">
        <f t="shared" si="5"/>
        <v>1374.748</v>
      </c>
      <c r="Y724" s="14">
        <f t="shared" si="6"/>
        <v>0.082</v>
      </c>
      <c r="Z724" s="25"/>
      <c r="AA724" s="21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</row>
    <row r="725">
      <c r="A725" s="21"/>
      <c r="B725" s="21"/>
      <c r="C725" s="21"/>
      <c r="D725" s="21"/>
      <c r="E725" s="21"/>
      <c r="F725" s="21" t="s">
        <v>33</v>
      </c>
      <c r="G725" s="21">
        <v>6610.0</v>
      </c>
      <c r="H725" s="26">
        <v>39.511504</v>
      </c>
      <c r="I725" s="26">
        <v>-112.768003</v>
      </c>
      <c r="J725" s="21">
        <v>1376.28</v>
      </c>
      <c r="K725" s="11">
        <v>12105.227</v>
      </c>
      <c r="L725" s="11">
        <v>23838.547</v>
      </c>
      <c r="M725" s="11">
        <v>-49.894</v>
      </c>
      <c r="N725" s="11">
        <v>12105.22</v>
      </c>
      <c r="O725" s="11">
        <v>23838.532</v>
      </c>
      <c r="P725" s="11">
        <v>-53.844</v>
      </c>
      <c r="Q725" s="11">
        <v>1390.8</v>
      </c>
      <c r="R725" s="11">
        <v>-19.47</v>
      </c>
      <c r="S725" s="12">
        <v>0.89</v>
      </c>
      <c r="T725" s="14">
        <f t="shared" si="9"/>
        <v>1372.33</v>
      </c>
      <c r="U725" s="14">
        <f t="shared" si="2"/>
        <v>3.95</v>
      </c>
      <c r="V725" s="14">
        <f t="shared" si="3"/>
        <v>-0.7572009324</v>
      </c>
      <c r="W725" s="15" t="str">
        <f t="shared" si="4"/>
        <v/>
      </c>
      <c r="X725" s="11">
        <f t="shared" si="5"/>
        <v>1371.728</v>
      </c>
      <c r="Y725" s="14">
        <f t="shared" si="6"/>
        <v>0.602</v>
      </c>
      <c r="Z725" s="25"/>
      <c r="AA725" s="21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</row>
    <row r="726">
      <c r="A726" s="21"/>
      <c r="B726" s="21"/>
      <c r="C726" s="21"/>
      <c r="D726" s="21"/>
      <c r="E726" s="21"/>
      <c r="F726" s="21" t="s">
        <v>33</v>
      </c>
      <c r="G726" s="21">
        <v>6611.0</v>
      </c>
      <c r="H726" s="26">
        <v>39.511875</v>
      </c>
      <c r="I726" s="26">
        <v>-112.743257</v>
      </c>
      <c r="J726" s="21">
        <v>1377.11</v>
      </c>
      <c r="K726" s="11">
        <v>14233.742</v>
      </c>
      <c r="L726" s="11">
        <v>23883.351</v>
      </c>
      <c r="M726" s="11">
        <v>-53.62</v>
      </c>
      <c r="N726" s="11">
        <v>14233.731</v>
      </c>
      <c r="O726" s="11">
        <v>23883.334</v>
      </c>
      <c r="P726" s="11">
        <v>-58.21</v>
      </c>
      <c r="Q726" s="11">
        <v>1390.99</v>
      </c>
      <c r="R726" s="11">
        <v>-19.47</v>
      </c>
      <c r="S726" s="12">
        <v>0.89</v>
      </c>
      <c r="T726" s="14">
        <f t="shared" si="9"/>
        <v>1372.52</v>
      </c>
      <c r="U726" s="14">
        <f t="shared" si="2"/>
        <v>4.59</v>
      </c>
      <c r="V726" s="14">
        <f t="shared" si="3"/>
        <v>0.0477967366</v>
      </c>
      <c r="W726" s="15" t="str">
        <f t="shared" si="4"/>
        <v/>
      </c>
      <c r="X726" s="11">
        <f t="shared" si="5"/>
        <v>1372.558</v>
      </c>
      <c r="Y726" s="14">
        <f t="shared" si="6"/>
        <v>-0.038</v>
      </c>
      <c r="Z726" s="25"/>
      <c r="AA726" s="21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</row>
    <row r="727">
      <c r="A727" s="21"/>
      <c r="B727" s="21"/>
      <c r="C727" s="21"/>
      <c r="D727" s="21"/>
      <c r="E727" s="21"/>
      <c r="F727" s="21" t="s">
        <v>33</v>
      </c>
      <c r="G727" s="21">
        <v>6612.0</v>
      </c>
      <c r="H727" s="26">
        <v>39.51367</v>
      </c>
      <c r="I727" s="26">
        <v>-112.71969</v>
      </c>
      <c r="J727" s="21">
        <v>1377.5</v>
      </c>
      <c r="K727" s="11">
        <v>16260.485</v>
      </c>
      <c r="L727" s="11">
        <v>24086.657</v>
      </c>
      <c r="M727" s="11">
        <v>-58.834</v>
      </c>
      <c r="N727" s="11">
        <v>16260.476</v>
      </c>
      <c r="O727" s="11">
        <v>24086.644</v>
      </c>
      <c r="P727" s="11">
        <v>-62.294</v>
      </c>
      <c r="Q727" s="11">
        <v>1392.49</v>
      </c>
      <c r="R727" s="11">
        <v>-19.45</v>
      </c>
      <c r="S727" s="12">
        <v>0.89</v>
      </c>
      <c r="T727" s="14">
        <f t="shared" si="9"/>
        <v>1374.04</v>
      </c>
      <c r="U727" s="14">
        <f t="shared" si="2"/>
        <v>3.46</v>
      </c>
      <c r="V727" s="14">
        <f t="shared" si="3"/>
        <v>-1.373527273</v>
      </c>
      <c r="W727" s="15" t="str">
        <f t="shared" si="4"/>
        <v/>
      </c>
      <c r="X727" s="11">
        <f t="shared" si="5"/>
        <v>1372.948</v>
      </c>
      <c r="Y727" s="14">
        <f t="shared" si="6"/>
        <v>1.092</v>
      </c>
      <c r="Z727" s="25"/>
      <c r="AA727" s="21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</row>
    <row r="728">
      <c r="A728" s="21"/>
      <c r="B728" s="21"/>
      <c r="C728" s="21"/>
      <c r="D728" s="21"/>
      <c r="E728" s="21"/>
      <c r="F728" s="21" t="s">
        <v>33</v>
      </c>
      <c r="G728" s="21">
        <v>6704.0</v>
      </c>
      <c r="H728" s="26">
        <v>39.52702</v>
      </c>
      <c r="I728" s="26">
        <v>-112.913439</v>
      </c>
      <c r="J728" s="21">
        <v>1418.15</v>
      </c>
      <c r="K728" s="11">
        <v>-404.753</v>
      </c>
      <c r="L728" s="11">
        <v>25552.34</v>
      </c>
      <c r="M728" s="11">
        <v>-3.219</v>
      </c>
      <c r="N728" s="11">
        <v>-404.753</v>
      </c>
      <c r="O728" s="11">
        <v>25552.325</v>
      </c>
      <c r="P728" s="11">
        <v>-7.079</v>
      </c>
      <c r="Q728" s="11">
        <v>1432.75</v>
      </c>
      <c r="R728" s="11">
        <v>-19.46</v>
      </c>
      <c r="S728" s="12">
        <v>0.89</v>
      </c>
      <c r="T728" s="14">
        <f t="shared" si="9"/>
        <v>1414.29</v>
      </c>
      <c r="U728" s="14">
        <f t="shared" si="2"/>
        <v>3.86</v>
      </c>
      <c r="V728" s="14">
        <f t="shared" si="3"/>
        <v>-0.8704037296</v>
      </c>
      <c r="W728" s="15" t="str">
        <f t="shared" si="4"/>
        <v/>
      </c>
      <c r="X728" s="11">
        <f t="shared" si="5"/>
        <v>1413.598</v>
      </c>
      <c r="Y728" s="14">
        <f t="shared" si="6"/>
        <v>0.692</v>
      </c>
      <c r="Z728" s="25"/>
      <c r="AA728" s="21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</row>
    <row r="729">
      <c r="A729" s="21"/>
      <c r="B729" s="21"/>
      <c r="C729" s="21"/>
      <c r="D729" s="21"/>
      <c r="E729" s="21"/>
      <c r="F729" s="21" t="s">
        <v>33</v>
      </c>
      <c r="G729" s="21">
        <v>6705.0</v>
      </c>
      <c r="H729" s="26">
        <v>39.528323</v>
      </c>
      <c r="I729" s="26">
        <v>-112.889415</v>
      </c>
      <c r="J729" s="21">
        <v>1397.78</v>
      </c>
      <c r="K729" s="11">
        <v>1661.255</v>
      </c>
      <c r="L729" s="11">
        <v>25697.122</v>
      </c>
      <c r="M729" s="11">
        <v>-24.375</v>
      </c>
      <c r="N729" s="11">
        <v>1661.254</v>
      </c>
      <c r="O729" s="11">
        <v>25697.107</v>
      </c>
      <c r="P729" s="11">
        <v>-28.125</v>
      </c>
      <c r="Q729" s="11">
        <v>1412.49</v>
      </c>
      <c r="R729" s="11">
        <v>-19.46</v>
      </c>
      <c r="S729" s="12">
        <v>0.89</v>
      </c>
      <c r="T729" s="14">
        <f t="shared" si="9"/>
        <v>1394.03</v>
      </c>
      <c r="U729" s="14">
        <f t="shared" si="2"/>
        <v>3.75</v>
      </c>
      <c r="V729" s="14">
        <f t="shared" si="3"/>
        <v>-1.008762704</v>
      </c>
      <c r="W729" s="15" t="str">
        <f t="shared" si="4"/>
        <v/>
      </c>
      <c r="X729" s="11">
        <f t="shared" si="5"/>
        <v>1393.228</v>
      </c>
      <c r="Y729" s="14">
        <f t="shared" si="6"/>
        <v>0.802</v>
      </c>
      <c r="Z729" s="25"/>
      <c r="AA729" s="21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</row>
    <row r="730">
      <c r="A730" s="21"/>
      <c r="B730" s="21"/>
      <c r="C730" s="21"/>
      <c r="D730" s="21"/>
      <c r="E730" s="21"/>
      <c r="F730" s="21" t="s">
        <v>33</v>
      </c>
      <c r="G730" s="21">
        <v>6706.0</v>
      </c>
      <c r="H730" s="26">
        <v>39.528653</v>
      </c>
      <c r="I730" s="26">
        <v>-112.865199</v>
      </c>
      <c r="J730" s="21">
        <v>1387.46</v>
      </c>
      <c r="K730" s="11">
        <v>3743.742</v>
      </c>
      <c r="L730" s="11">
        <v>25734.45</v>
      </c>
      <c r="M730" s="11">
        <v>-35.727</v>
      </c>
      <c r="N730" s="11">
        <v>3743.74</v>
      </c>
      <c r="O730" s="11">
        <v>25734.435</v>
      </c>
      <c r="P730" s="11">
        <v>-39.467</v>
      </c>
      <c r="Q730" s="11">
        <v>1402.19</v>
      </c>
      <c r="R730" s="11">
        <v>-19.47</v>
      </c>
      <c r="S730" s="12">
        <v>0.89</v>
      </c>
      <c r="T730" s="14">
        <f t="shared" si="9"/>
        <v>1383.72</v>
      </c>
      <c r="U730" s="14">
        <f t="shared" si="2"/>
        <v>3.74</v>
      </c>
      <c r="V730" s="14">
        <f t="shared" si="3"/>
        <v>-1.021340793</v>
      </c>
      <c r="W730" s="15" t="str">
        <f t="shared" si="4"/>
        <v/>
      </c>
      <c r="X730" s="11">
        <f t="shared" si="5"/>
        <v>1382.908</v>
      </c>
      <c r="Y730" s="14">
        <f t="shared" si="6"/>
        <v>0.812</v>
      </c>
      <c r="Z730" s="25"/>
      <c r="AA730" s="21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</row>
    <row r="731">
      <c r="A731" s="21"/>
      <c r="B731" s="21"/>
      <c r="C731" s="21"/>
      <c r="D731" s="21"/>
      <c r="E731" s="21"/>
      <c r="F731" s="21" t="s">
        <v>33</v>
      </c>
      <c r="G731" s="21">
        <v>6707.0</v>
      </c>
      <c r="H731" s="26">
        <v>39.529051</v>
      </c>
      <c r="I731" s="26">
        <v>-112.841054</v>
      </c>
      <c r="J731" s="21">
        <v>1386.87</v>
      </c>
      <c r="K731" s="11">
        <v>5820.099</v>
      </c>
      <c r="L731" s="11">
        <v>25779.921</v>
      </c>
      <c r="M731" s="11">
        <v>-38.056</v>
      </c>
      <c r="N731" s="11">
        <v>5820.096</v>
      </c>
      <c r="O731" s="11">
        <v>25779.907</v>
      </c>
      <c r="P731" s="11">
        <v>-41.686</v>
      </c>
      <c r="Q731" s="11">
        <v>1401.7</v>
      </c>
      <c r="R731" s="11">
        <v>-19.46</v>
      </c>
      <c r="S731" s="12">
        <v>0.89</v>
      </c>
      <c r="T731" s="14">
        <f t="shared" si="9"/>
        <v>1383.24</v>
      </c>
      <c r="U731" s="14">
        <f t="shared" si="2"/>
        <v>3.63</v>
      </c>
      <c r="V731" s="14">
        <f t="shared" si="3"/>
        <v>-1.159699767</v>
      </c>
      <c r="W731" s="15" t="str">
        <f t="shared" si="4"/>
        <v/>
      </c>
      <c r="X731" s="11">
        <f t="shared" si="5"/>
        <v>1382.318</v>
      </c>
      <c r="Y731" s="14">
        <f t="shared" si="6"/>
        <v>0.922</v>
      </c>
      <c r="Z731" s="25"/>
      <c r="AA731" s="21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</row>
    <row r="732">
      <c r="A732" s="21"/>
      <c r="B732" s="21"/>
      <c r="C732" s="21"/>
      <c r="D732" s="21"/>
      <c r="E732" s="21"/>
      <c r="F732" s="21" t="s">
        <v>33</v>
      </c>
      <c r="G732" s="21">
        <v>6708.0</v>
      </c>
      <c r="H732" s="26">
        <v>39.529465</v>
      </c>
      <c r="I732" s="26">
        <v>-112.816823</v>
      </c>
      <c r="J732" s="21">
        <v>1384.14</v>
      </c>
      <c r="K732" s="11">
        <v>7903.822</v>
      </c>
      <c r="L732" s="11">
        <v>25827.722</v>
      </c>
      <c r="M732" s="11">
        <v>-43.218</v>
      </c>
      <c r="N732" s="11">
        <v>7903.818</v>
      </c>
      <c r="O732" s="11">
        <v>25827.707</v>
      </c>
      <c r="P732" s="11">
        <v>-46.928</v>
      </c>
      <c r="Q732" s="11">
        <v>1398.88</v>
      </c>
      <c r="R732" s="11">
        <v>-19.45</v>
      </c>
      <c r="S732" s="12">
        <v>0.89</v>
      </c>
      <c r="T732" s="14">
        <f t="shared" si="9"/>
        <v>1380.43</v>
      </c>
      <c r="U732" s="14">
        <f t="shared" si="2"/>
        <v>3.71</v>
      </c>
      <c r="V732" s="14">
        <f t="shared" si="3"/>
        <v>-1.059075058</v>
      </c>
      <c r="W732" s="15" t="str">
        <f t="shared" si="4"/>
        <v/>
      </c>
      <c r="X732" s="11">
        <f t="shared" si="5"/>
        <v>1379.588</v>
      </c>
      <c r="Y732" s="14">
        <f t="shared" si="6"/>
        <v>0.842</v>
      </c>
      <c r="Z732" s="25"/>
      <c r="AA732" s="21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</row>
    <row r="733">
      <c r="A733" s="21"/>
      <c r="B733" s="21"/>
      <c r="C733" s="21"/>
      <c r="D733" s="21"/>
      <c r="E733" s="21"/>
      <c r="F733" s="21" t="s">
        <v>33</v>
      </c>
      <c r="G733" s="21">
        <v>6709.0</v>
      </c>
      <c r="H733" s="26">
        <v>39.529833</v>
      </c>
      <c r="I733" s="26">
        <v>-112.792553</v>
      </c>
      <c r="J733" s="21">
        <v>1381.14</v>
      </c>
      <c r="K733" s="11">
        <v>9990.878</v>
      </c>
      <c r="L733" s="11">
        <v>25870.977</v>
      </c>
      <c r="M733" s="11">
        <v>-49.317</v>
      </c>
      <c r="N733" s="11">
        <v>9990.872</v>
      </c>
      <c r="O733" s="11">
        <v>25870.963</v>
      </c>
      <c r="P733" s="11">
        <v>-52.787</v>
      </c>
      <c r="Q733" s="11">
        <v>1396.1</v>
      </c>
      <c r="R733" s="11">
        <v>-19.43</v>
      </c>
      <c r="S733" s="12">
        <v>0.89</v>
      </c>
      <c r="T733" s="14">
        <f t="shared" si="9"/>
        <v>1377.67</v>
      </c>
      <c r="U733" s="14">
        <f t="shared" si="2"/>
        <v>3.47</v>
      </c>
      <c r="V733" s="14">
        <f t="shared" si="3"/>
        <v>-1.360949184</v>
      </c>
      <c r="W733" s="15" t="str">
        <f t="shared" si="4"/>
        <v/>
      </c>
      <c r="X733" s="11">
        <f t="shared" si="5"/>
        <v>1376.588</v>
      </c>
      <c r="Y733" s="14">
        <f t="shared" si="6"/>
        <v>1.082</v>
      </c>
      <c r="Z733" s="25"/>
      <c r="AA733" s="21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</row>
    <row r="734">
      <c r="A734" s="21"/>
      <c r="B734" s="21"/>
      <c r="C734" s="21"/>
      <c r="D734" s="21"/>
      <c r="E734" s="21"/>
      <c r="F734" s="21" t="s">
        <v>33</v>
      </c>
      <c r="G734" s="21">
        <v>6710.0</v>
      </c>
      <c r="H734" s="26">
        <v>39.530193</v>
      </c>
      <c r="I734" s="26">
        <v>-112.768462</v>
      </c>
      <c r="J734" s="21">
        <v>1376.46</v>
      </c>
      <c r="K734" s="11">
        <v>12062.512</v>
      </c>
      <c r="L734" s="11">
        <v>25913.871</v>
      </c>
      <c r="M734" s="11">
        <v>-57.747</v>
      </c>
      <c r="N734" s="11">
        <v>12062.507</v>
      </c>
      <c r="O734" s="11">
        <v>25913.861</v>
      </c>
      <c r="P734" s="11">
        <v>-60.377</v>
      </c>
      <c r="Q734" s="11">
        <v>1392.26</v>
      </c>
      <c r="R734" s="11">
        <v>-19.43</v>
      </c>
      <c r="S734" s="12">
        <v>0.89</v>
      </c>
      <c r="T734" s="14">
        <f t="shared" si="9"/>
        <v>1373.83</v>
      </c>
      <c r="U734" s="14">
        <f t="shared" si="2"/>
        <v>2.63</v>
      </c>
      <c r="V734" s="14">
        <f t="shared" si="3"/>
        <v>-2.417508625</v>
      </c>
      <c r="W734" s="15" t="str">
        <f t="shared" si="4"/>
        <v/>
      </c>
      <c r="X734" s="11">
        <f t="shared" si="5"/>
        <v>1371.908</v>
      </c>
      <c r="Y734" s="14">
        <f t="shared" si="6"/>
        <v>1.922</v>
      </c>
      <c r="Z734" s="25"/>
      <c r="AA734" s="21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</row>
    <row r="735">
      <c r="A735" s="21"/>
      <c r="B735" s="21"/>
      <c r="C735" s="21"/>
      <c r="D735" s="21"/>
      <c r="E735" s="21"/>
      <c r="F735" s="21" t="s">
        <v>33</v>
      </c>
      <c r="G735" s="21">
        <v>6711.0</v>
      </c>
      <c r="H735" s="26">
        <v>39.530578</v>
      </c>
      <c r="I735" s="26">
        <v>-112.744261</v>
      </c>
      <c r="J735" s="21">
        <v>1375.68</v>
      </c>
      <c r="K735" s="11">
        <v>14143.583</v>
      </c>
      <c r="L735" s="11">
        <v>25960.127</v>
      </c>
      <c r="M735" s="11">
        <v>-62.984</v>
      </c>
      <c r="N735" s="11">
        <v>14143.577</v>
      </c>
      <c r="O735" s="11">
        <v>25960.115</v>
      </c>
      <c r="P735" s="11">
        <v>-66.104</v>
      </c>
      <c r="Q735" s="11">
        <v>1390.98</v>
      </c>
      <c r="R735" s="11">
        <v>-19.42</v>
      </c>
      <c r="S735" s="12">
        <v>0.89</v>
      </c>
      <c r="T735" s="14">
        <f t="shared" si="9"/>
        <v>1372.56</v>
      </c>
      <c r="U735" s="14">
        <f t="shared" si="2"/>
        <v>3.12</v>
      </c>
      <c r="V735" s="14">
        <f t="shared" si="3"/>
        <v>-1.801182284</v>
      </c>
      <c r="W735" s="15" t="str">
        <f t="shared" si="4"/>
        <v/>
      </c>
      <c r="X735" s="11">
        <f t="shared" si="5"/>
        <v>1371.128</v>
      </c>
      <c r="Y735" s="14">
        <f t="shared" si="6"/>
        <v>1.432</v>
      </c>
      <c r="Z735" s="25"/>
      <c r="AA735" s="21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</row>
    <row r="736">
      <c r="A736" s="21"/>
      <c r="B736" s="21"/>
      <c r="C736" s="21"/>
      <c r="D736" s="21"/>
      <c r="E736" s="21"/>
      <c r="F736" s="21" t="s">
        <v>33</v>
      </c>
      <c r="G736" s="21">
        <v>6712.0</v>
      </c>
      <c r="H736" s="26">
        <v>39.530822</v>
      </c>
      <c r="I736" s="26">
        <v>-112.720064</v>
      </c>
      <c r="J736" s="21">
        <v>1376.57</v>
      </c>
      <c r="K736" s="11">
        <v>16224.322</v>
      </c>
      <c r="L736" s="11">
        <v>25991.288</v>
      </c>
      <c r="M736" s="11">
        <v>-67.167</v>
      </c>
      <c r="N736" s="11">
        <v>16224.311</v>
      </c>
      <c r="O736" s="11">
        <v>25991.272</v>
      </c>
      <c r="P736" s="11">
        <v>-71.147</v>
      </c>
      <c r="Q736" s="11">
        <v>1390.99</v>
      </c>
      <c r="R736" s="11">
        <v>-19.4</v>
      </c>
      <c r="S736" s="12">
        <v>0.89</v>
      </c>
      <c r="T736" s="14">
        <f t="shared" si="9"/>
        <v>1372.59</v>
      </c>
      <c r="U736" s="14">
        <f t="shared" si="2"/>
        <v>3.98</v>
      </c>
      <c r="V736" s="14">
        <f t="shared" si="3"/>
        <v>-0.7194666667</v>
      </c>
      <c r="W736" s="15" t="str">
        <f t="shared" si="4"/>
        <v/>
      </c>
      <c r="X736" s="11">
        <f t="shared" si="5"/>
        <v>1372.018</v>
      </c>
      <c r="Y736" s="14">
        <f t="shared" si="6"/>
        <v>0.572</v>
      </c>
      <c r="Z736" s="25"/>
      <c r="AA736" s="21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</row>
    <row r="737">
      <c r="A737" s="21"/>
      <c r="B737" s="21"/>
      <c r="C737" s="21"/>
      <c r="D737" s="21"/>
      <c r="E737" s="21"/>
      <c r="F737" s="21" t="s">
        <v>33</v>
      </c>
      <c r="G737" s="21">
        <v>6713.0</v>
      </c>
      <c r="H737" s="26">
        <v>39.531338</v>
      </c>
      <c r="I737" s="26">
        <v>-112.698246</v>
      </c>
      <c r="J737" s="21">
        <v>1379.45</v>
      </c>
      <c r="K737" s="11">
        <v>18100.4</v>
      </c>
      <c r="L737" s="11">
        <v>26052.74</v>
      </c>
      <c r="M737" s="11">
        <v>-69.579</v>
      </c>
      <c r="N737" s="11">
        <v>18100.389</v>
      </c>
      <c r="O737" s="11">
        <v>26052.724</v>
      </c>
      <c r="P737" s="11">
        <v>-73.429</v>
      </c>
      <c r="Q737" s="11">
        <v>1393.98</v>
      </c>
      <c r="R737" s="11">
        <v>-19.38</v>
      </c>
      <c r="S737" s="12">
        <v>0.89</v>
      </c>
      <c r="T737" s="14">
        <f t="shared" si="9"/>
        <v>1375.6</v>
      </c>
      <c r="U737" s="14">
        <f t="shared" si="2"/>
        <v>3.85</v>
      </c>
      <c r="V737" s="14">
        <f t="shared" si="3"/>
        <v>-0.8829818182</v>
      </c>
      <c r="W737" s="15" t="str">
        <f t="shared" si="4"/>
        <v/>
      </c>
      <c r="X737" s="11">
        <f t="shared" si="5"/>
        <v>1374.898</v>
      </c>
      <c r="Y737" s="14">
        <f t="shared" si="6"/>
        <v>0.702</v>
      </c>
      <c r="Z737" s="25"/>
      <c r="AA737" s="21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</row>
    <row r="738">
      <c r="A738" s="21"/>
      <c r="B738" s="21"/>
      <c r="C738" s="21"/>
      <c r="D738" s="21"/>
      <c r="E738" s="21"/>
      <c r="F738" s="21" t="s">
        <v>33</v>
      </c>
      <c r="G738" s="21">
        <v>6803.0</v>
      </c>
      <c r="H738" s="26">
        <v>39.546305</v>
      </c>
      <c r="I738" s="26">
        <v>-112.938167</v>
      </c>
      <c r="J738" s="21">
        <v>1460.09</v>
      </c>
      <c r="K738" s="11">
        <v>-2530.658</v>
      </c>
      <c r="L738" s="11">
        <v>27694.514</v>
      </c>
      <c r="M738" s="11">
        <v>29.269</v>
      </c>
      <c r="N738" s="11">
        <v>-2530.657</v>
      </c>
      <c r="O738" s="11">
        <v>27694.505</v>
      </c>
      <c r="P738" s="11">
        <v>27.219</v>
      </c>
      <c r="Q738" s="11">
        <v>1476.45</v>
      </c>
      <c r="R738" s="11">
        <v>-19.41</v>
      </c>
      <c r="S738" s="12">
        <v>0.89</v>
      </c>
      <c r="T738" s="14">
        <f t="shared" si="9"/>
        <v>1458.04</v>
      </c>
      <c r="U738" s="14">
        <f t="shared" si="2"/>
        <v>2.05</v>
      </c>
      <c r="V738" s="14">
        <f t="shared" si="3"/>
        <v>-3.147037762</v>
      </c>
      <c r="W738" s="15" t="str">
        <f t="shared" si="4"/>
        <v>✔</v>
      </c>
      <c r="X738" s="11">
        <f t="shared" si="5"/>
        <v>1455.538</v>
      </c>
      <c r="Y738" s="14">
        <f t="shared" si="6"/>
        <v>2.502</v>
      </c>
      <c r="Z738" s="25"/>
      <c r="AA738" s="21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</row>
    <row r="739">
      <c r="A739" s="21"/>
      <c r="B739" s="21"/>
      <c r="C739" s="21"/>
      <c r="D739" s="21"/>
      <c r="E739" s="21"/>
      <c r="F739" s="21" t="s">
        <v>33</v>
      </c>
      <c r="G739" s="21">
        <v>6804.0</v>
      </c>
      <c r="H739" s="26">
        <v>39.546551</v>
      </c>
      <c r="I739" s="26">
        <v>-112.914104</v>
      </c>
      <c r="J739" s="21">
        <v>1413.28</v>
      </c>
      <c r="K739" s="11">
        <v>-461.813</v>
      </c>
      <c r="L739" s="11">
        <v>27721.23</v>
      </c>
      <c r="M739" s="11">
        <v>-17.173</v>
      </c>
      <c r="N739" s="11">
        <v>-461.813</v>
      </c>
      <c r="O739" s="11">
        <v>27721.213</v>
      </c>
      <c r="P739" s="11">
        <v>-21.133</v>
      </c>
      <c r="Q739" s="11">
        <v>1427.75</v>
      </c>
      <c r="R739" s="11">
        <v>-19.43</v>
      </c>
      <c r="S739" s="12">
        <v>0.89</v>
      </c>
      <c r="T739" s="14">
        <f t="shared" si="9"/>
        <v>1409.32</v>
      </c>
      <c r="U739" s="14">
        <f t="shared" si="2"/>
        <v>3.96</v>
      </c>
      <c r="V739" s="14">
        <f t="shared" si="3"/>
        <v>-0.7446228438</v>
      </c>
      <c r="W739" s="15" t="str">
        <f t="shared" si="4"/>
        <v/>
      </c>
      <c r="X739" s="11">
        <f t="shared" si="5"/>
        <v>1408.728</v>
      </c>
      <c r="Y739" s="14">
        <f t="shared" si="6"/>
        <v>0.592</v>
      </c>
      <c r="Z739" s="25"/>
      <c r="AA739" s="21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</row>
    <row r="740">
      <c r="A740" s="21"/>
      <c r="B740" s="21"/>
      <c r="C740" s="21"/>
      <c r="D740" s="21"/>
      <c r="E740" s="21"/>
      <c r="F740" s="21" t="s">
        <v>33</v>
      </c>
      <c r="G740" s="21">
        <v>6805.0</v>
      </c>
      <c r="H740" s="26">
        <v>39.547037</v>
      </c>
      <c r="I740" s="26">
        <v>-112.889882</v>
      </c>
      <c r="J740" s="21">
        <v>1394.85</v>
      </c>
      <c r="K740" s="11">
        <v>1620.658</v>
      </c>
      <c r="L740" s="11">
        <v>27775.275</v>
      </c>
      <c r="M740" s="11">
        <v>-36.028</v>
      </c>
      <c r="N740" s="11">
        <v>1620.657</v>
      </c>
      <c r="O740" s="11">
        <v>27775.257</v>
      </c>
      <c r="P740" s="11">
        <v>-40.228</v>
      </c>
      <c r="Q740" s="11">
        <v>1409.09</v>
      </c>
      <c r="R740" s="11">
        <v>-19.44</v>
      </c>
      <c r="S740" s="12">
        <v>0.89</v>
      </c>
      <c r="T740" s="14">
        <f t="shared" si="9"/>
        <v>1390.65</v>
      </c>
      <c r="U740" s="14">
        <f t="shared" si="2"/>
        <v>4.2</v>
      </c>
      <c r="V740" s="14">
        <f t="shared" si="3"/>
        <v>-0.4427487179</v>
      </c>
      <c r="W740" s="15" t="str">
        <f t="shared" si="4"/>
        <v/>
      </c>
      <c r="X740" s="11">
        <f t="shared" si="5"/>
        <v>1390.298</v>
      </c>
      <c r="Y740" s="14">
        <f t="shared" si="6"/>
        <v>0.352</v>
      </c>
      <c r="Z740" s="25"/>
      <c r="AA740" s="21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</row>
    <row r="741">
      <c r="A741" s="21"/>
      <c r="B741" s="21"/>
      <c r="C741" s="21"/>
      <c r="D741" s="21"/>
      <c r="E741" s="21"/>
      <c r="F741" s="21" t="s">
        <v>33</v>
      </c>
      <c r="G741" s="21">
        <v>6806.0</v>
      </c>
      <c r="H741" s="26">
        <v>39.547443</v>
      </c>
      <c r="I741" s="26">
        <v>-112.865706</v>
      </c>
      <c r="J741" s="21">
        <v>1393.4</v>
      </c>
      <c r="K741" s="11">
        <v>3699.147</v>
      </c>
      <c r="L741" s="11">
        <v>27821.066</v>
      </c>
      <c r="M741" s="11">
        <v>-38.543</v>
      </c>
      <c r="N741" s="11">
        <v>3699.145</v>
      </c>
      <c r="O741" s="11">
        <v>27821.046</v>
      </c>
      <c r="P741" s="11">
        <v>-42.943</v>
      </c>
      <c r="Q741" s="11">
        <v>1407.43</v>
      </c>
      <c r="R741" s="11">
        <v>-19.43</v>
      </c>
      <c r="S741" s="12">
        <v>0.89</v>
      </c>
      <c r="T741" s="14">
        <f t="shared" si="9"/>
        <v>1389</v>
      </c>
      <c r="U741" s="14">
        <f t="shared" si="2"/>
        <v>4.4</v>
      </c>
      <c r="V741" s="14">
        <f t="shared" si="3"/>
        <v>-0.1911869464</v>
      </c>
      <c r="W741" s="15" t="str">
        <f t="shared" si="4"/>
        <v/>
      </c>
      <c r="X741" s="11">
        <f t="shared" si="5"/>
        <v>1388.848</v>
      </c>
      <c r="Y741" s="14">
        <f t="shared" si="6"/>
        <v>0.152</v>
      </c>
      <c r="Z741" s="25"/>
      <c r="AA741" s="21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</row>
    <row r="742">
      <c r="A742" s="21"/>
      <c r="B742" s="21"/>
      <c r="C742" s="21"/>
      <c r="D742" s="21"/>
      <c r="E742" s="21"/>
      <c r="F742" s="21" t="s">
        <v>33</v>
      </c>
      <c r="G742" s="21">
        <v>6807.0</v>
      </c>
      <c r="H742" s="26">
        <v>39.547818</v>
      </c>
      <c r="I742" s="26">
        <v>-112.841531</v>
      </c>
      <c r="J742" s="21">
        <v>1389.02</v>
      </c>
      <c r="K742" s="11">
        <v>5777.525</v>
      </c>
      <c r="L742" s="11">
        <v>27863.956</v>
      </c>
      <c r="M742" s="11">
        <v>-44.652</v>
      </c>
      <c r="N742" s="11">
        <v>5777.522</v>
      </c>
      <c r="O742" s="11">
        <v>27863.942</v>
      </c>
      <c r="P742" s="11">
        <v>-47.802</v>
      </c>
      <c r="Q742" s="11">
        <v>1404.29</v>
      </c>
      <c r="R742" s="11">
        <v>-19.42</v>
      </c>
      <c r="S742" s="12">
        <v>0.89</v>
      </c>
      <c r="T742" s="14">
        <f t="shared" si="9"/>
        <v>1385.87</v>
      </c>
      <c r="U742" s="14">
        <f t="shared" si="2"/>
        <v>3.15</v>
      </c>
      <c r="V742" s="14">
        <f t="shared" si="3"/>
        <v>-1.763448019</v>
      </c>
      <c r="W742" s="15" t="str">
        <f t="shared" si="4"/>
        <v/>
      </c>
      <c r="X742" s="11">
        <f t="shared" si="5"/>
        <v>1384.468</v>
      </c>
      <c r="Y742" s="14">
        <f t="shared" si="6"/>
        <v>1.402</v>
      </c>
      <c r="Z742" s="25"/>
      <c r="AA742" s="21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</row>
    <row r="743">
      <c r="A743" s="21"/>
      <c r="B743" s="21"/>
      <c r="C743" s="21"/>
      <c r="D743" s="21"/>
      <c r="E743" s="21"/>
      <c r="F743" s="21" t="s">
        <v>33</v>
      </c>
      <c r="G743" s="21">
        <v>6808.0</v>
      </c>
      <c r="H743" s="26">
        <v>39.548199</v>
      </c>
      <c r="I743" s="26">
        <v>-112.817339</v>
      </c>
      <c r="J743" s="21">
        <v>1390.43</v>
      </c>
      <c r="K743" s="11">
        <v>7857.344</v>
      </c>
      <c r="L743" s="11">
        <v>27908.095</v>
      </c>
      <c r="M743" s="11">
        <v>-45.655</v>
      </c>
      <c r="N743" s="11">
        <v>7857.339</v>
      </c>
      <c r="O743" s="11">
        <v>27908.077</v>
      </c>
      <c r="P743" s="11">
        <v>-49.805</v>
      </c>
      <c r="Q743" s="11">
        <v>1404.69</v>
      </c>
      <c r="R743" s="11">
        <v>-19.41</v>
      </c>
      <c r="S743" s="12">
        <v>0.89</v>
      </c>
      <c r="T743" s="14">
        <f t="shared" si="9"/>
        <v>1386.28</v>
      </c>
      <c r="U743" s="14">
        <f t="shared" si="2"/>
        <v>4.15</v>
      </c>
      <c r="V743" s="14">
        <f t="shared" si="3"/>
        <v>-0.5056391608</v>
      </c>
      <c r="W743" s="15" t="str">
        <f t="shared" si="4"/>
        <v/>
      </c>
      <c r="X743" s="11">
        <f t="shared" si="5"/>
        <v>1385.878</v>
      </c>
      <c r="Y743" s="14">
        <f t="shared" si="6"/>
        <v>0.402</v>
      </c>
      <c r="Z743" s="25"/>
      <c r="AA743" s="21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</row>
    <row r="744">
      <c r="A744" s="21"/>
      <c r="B744" s="21"/>
      <c r="C744" s="21"/>
      <c r="D744" s="21"/>
      <c r="E744" s="21"/>
      <c r="F744" s="21" t="s">
        <v>33</v>
      </c>
      <c r="G744" s="21">
        <v>6809.0</v>
      </c>
      <c r="H744" s="26">
        <v>39.548566</v>
      </c>
      <c r="I744" s="26">
        <v>-112.793163</v>
      </c>
      <c r="J744" s="21">
        <v>1384.9</v>
      </c>
      <c r="K744" s="11">
        <v>9935.755</v>
      </c>
      <c r="L744" s="11">
        <v>27951.203</v>
      </c>
      <c r="M744" s="11">
        <v>-54.269</v>
      </c>
      <c r="N744" s="11">
        <v>9935.75</v>
      </c>
      <c r="O744" s="11">
        <v>27951.187</v>
      </c>
      <c r="P744" s="11">
        <v>-57.899</v>
      </c>
      <c r="Q744" s="11">
        <v>1399.66</v>
      </c>
      <c r="R744" s="11">
        <v>-19.39</v>
      </c>
      <c r="S744" s="12">
        <v>0.89</v>
      </c>
      <c r="T744" s="14">
        <f t="shared" si="9"/>
        <v>1381.27</v>
      </c>
      <c r="U744" s="14">
        <f t="shared" si="2"/>
        <v>3.63</v>
      </c>
      <c r="V744" s="14">
        <f t="shared" si="3"/>
        <v>-1.159699767</v>
      </c>
      <c r="W744" s="15" t="str">
        <f t="shared" si="4"/>
        <v/>
      </c>
      <c r="X744" s="11">
        <f t="shared" si="5"/>
        <v>1380.348</v>
      </c>
      <c r="Y744" s="14">
        <f t="shared" si="6"/>
        <v>0.922</v>
      </c>
      <c r="Z744" s="25"/>
      <c r="AA744" s="21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</row>
    <row r="745">
      <c r="A745" s="21"/>
      <c r="B745" s="21"/>
      <c r="C745" s="21"/>
      <c r="D745" s="21"/>
      <c r="E745" s="21"/>
      <c r="F745" s="21" t="s">
        <v>33</v>
      </c>
      <c r="G745" s="21">
        <v>6810.0</v>
      </c>
      <c r="H745" s="26">
        <v>39.5488</v>
      </c>
      <c r="I745" s="26">
        <v>-112.768949</v>
      </c>
      <c r="J745" s="21">
        <v>1378.61</v>
      </c>
      <c r="K745" s="11">
        <v>12017.428</v>
      </c>
      <c r="L745" s="11">
        <v>27980.099</v>
      </c>
      <c r="M745" s="11">
        <v>-64.263</v>
      </c>
      <c r="N745" s="11">
        <v>12017.422</v>
      </c>
      <c r="O745" s="11">
        <v>27980.084</v>
      </c>
      <c r="P745" s="11">
        <v>-67.603</v>
      </c>
      <c r="Q745" s="11">
        <v>1393.65</v>
      </c>
      <c r="R745" s="11">
        <v>-19.38</v>
      </c>
      <c r="S745" s="12">
        <v>0.89</v>
      </c>
      <c r="T745" s="14">
        <f t="shared" si="9"/>
        <v>1375.27</v>
      </c>
      <c r="U745" s="14">
        <f t="shared" si="2"/>
        <v>3.34</v>
      </c>
      <c r="V745" s="14">
        <f t="shared" si="3"/>
        <v>-1.524464336</v>
      </c>
      <c r="W745" s="15" t="str">
        <f t="shared" si="4"/>
        <v/>
      </c>
      <c r="X745" s="11">
        <f t="shared" si="5"/>
        <v>1374.058</v>
      </c>
      <c r="Y745" s="14">
        <f t="shared" si="6"/>
        <v>1.212</v>
      </c>
      <c r="Z745" s="25"/>
      <c r="AA745" s="21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</row>
    <row r="746">
      <c r="A746" s="21"/>
      <c r="B746" s="21"/>
      <c r="C746" s="21"/>
      <c r="D746" s="21"/>
      <c r="E746" s="21"/>
      <c r="F746" s="21" t="s">
        <v>33</v>
      </c>
      <c r="G746" s="21">
        <v>6811.0</v>
      </c>
      <c r="H746" s="26">
        <v>39.549371</v>
      </c>
      <c r="I746" s="26">
        <v>-112.744776</v>
      </c>
      <c r="J746" s="21">
        <v>1377.91</v>
      </c>
      <c r="K746" s="11">
        <v>14095.5</v>
      </c>
      <c r="L746" s="11">
        <v>28046.994</v>
      </c>
      <c r="M746" s="11">
        <v>-69.505</v>
      </c>
      <c r="N746" s="11">
        <v>14095.491</v>
      </c>
      <c r="O746" s="11">
        <v>28046.977</v>
      </c>
      <c r="P746" s="11">
        <v>-73.285</v>
      </c>
      <c r="Q746" s="11">
        <v>1392.49</v>
      </c>
      <c r="R746" s="11">
        <v>-19.36</v>
      </c>
      <c r="S746" s="12">
        <v>0.89</v>
      </c>
      <c r="T746" s="14">
        <f t="shared" si="9"/>
        <v>1374.13</v>
      </c>
      <c r="U746" s="14">
        <f t="shared" si="2"/>
        <v>3.78</v>
      </c>
      <c r="V746" s="14">
        <f t="shared" si="3"/>
        <v>-0.9710284382</v>
      </c>
      <c r="W746" s="15" t="str">
        <f t="shared" si="4"/>
        <v/>
      </c>
      <c r="X746" s="11">
        <f t="shared" si="5"/>
        <v>1373.358</v>
      </c>
      <c r="Y746" s="14">
        <f t="shared" si="6"/>
        <v>0.772</v>
      </c>
      <c r="Z746" s="25"/>
      <c r="AA746" s="21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</row>
    <row r="747">
      <c r="A747" s="21"/>
      <c r="B747" s="21"/>
      <c r="C747" s="21"/>
      <c r="D747" s="21"/>
      <c r="E747" s="21"/>
      <c r="F747" s="21" t="s">
        <v>33</v>
      </c>
      <c r="G747" s="21">
        <v>6812.0</v>
      </c>
      <c r="H747" s="26">
        <v>39.549731</v>
      </c>
      <c r="I747" s="26">
        <v>-112.720517</v>
      </c>
      <c r="J747" s="21">
        <v>1376.67</v>
      </c>
      <c r="K747" s="11">
        <v>16180.975</v>
      </c>
      <c r="L747" s="11">
        <v>28091.025</v>
      </c>
      <c r="M747" s="11">
        <v>-75.881</v>
      </c>
      <c r="N747" s="11">
        <v>16180.965</v>
      </c>
      <c r="O747" s="11">
        <v>28091.007</v>
      </c>
      <c r="P747" s="11">
        <v>-79.981</v>
      </c>
      <c r="Q747" s="11">
        <v>1390.91</v>
      </c>
      <c r="R747" s="11">
        <v>-19.34</v>
      </c>
      <c r="S747" s="12">
        <v>0.89</v>
      </c>
      <c r="T747" s="14">
        <f t="shared" si="9"/>
        <v>1372.57</v>
      </c>
      <c r="U747" s="14">
        <f t="shared" si="2"/>
        <v>4.1</v>
      </c>
      <c r="V747" s="14">
        <f t="shared" si="3"/>
        <v>-0.5685296037</v>
      </c>
      <c r="W747" s="15" t="str">
        <f t="shared" si="4"/>
        <v/>
      </c>
      <c r="X747" s="11">
        <f t="shared" si="5"/>
        <v>1372.118</v>
      </c>
      <c r="Y747" s="14">
        <f t="shared" si="6"/>
        <v>0.452</v>
      </c>
      <c r="Z747" s="25"/>
      <c r="AA747" s="21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</row>
    <row r="748">
      <c r="A748" s="21"/>
      <c r="B748" s="21"/>
      <c r="C748" s="21"/>
      <c r="D748" s="21"/>
      <c r="E748" s="21"/>
      <c r="F748" s="21" t="s">
        <v>33</v>
      </c>
      <c r="G748" s="21">
        <v>6813.0</v>
      </c>
      <c r="H748" s="26">
        <v>39.549982</v>
      </c>
      <c r="I748" s="26">
        <v>-112.696625</v>
      </c>
      <c r="J748" s="21">
        <v>1381.99</v>
      </c>
      <c r="K748" s="11">
        <v>18234.922</v>
      </c>
      <c r="L748" s="11">
        <v>28123.466</v>
      </c>
      <c r="M748" s="11">
        <v>-76.238</v>
      </c>
      <c r="N748" s="11">
        <v>18234.909</v>
      </c>
      <c r="O748" s="11">
        <v>28123.445</v>
      </c>
      <c r="P748" s="11">
        <v>-80.997</v>
      </c>
      <c r="Q748" s="11">
        <v>1395.54</v>
      </c>
      <c r="R748" s="11">
        <v>-19.31</v>
      </c>
      <c r="S748" s="12">
        <v>0.89</v>
      </c>
      <c r="T748" s="14">
        <f t="shared" si="9"/>
        <v>1377.23</v>
      </c>
      <c r="U748" s="14">
        <f t="shared" si="2"/>
        <v>4.76</v>
      </c>
      <c r="V748" s="14">
        <f t="shared" si="3"/>
        <v>0.2616242424</v>
      </c>
      <c r="W748" s="15" t="str">
        <f t="shared" si="4"/>
        <v/>
      </c>
      <c r="X748" s="11">
        <f t="shared" si="5"/>
        <v>1377.438</v>
      </c>
      <c r="Y748" s="14">
        <f t="shared" si="6"/>
        <v>-0.208</v>
      </c>
      <c r="Z748" s="25"/>
      <c r="AA748" s="21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</row>
    <row r="749">
      <c r="A749" s="21"/>
      <c r="B749" s="21"/>
      <c r="C749" s="21"/>
      <c r="D749" s="21"/>
      <c r="E749" s="21"/>
      <c r="F749" s="21" t="s">
        <v>33</v>
      </c>
      <c r="G749" s="21">
        <v>6814.0</v>
      </c>
      <c r="H749" s="26">
        <v>39.550264</v>
      </c>
      <c r="I749" s="26">
        <v>-112.672201</v>
      </c>
      <c r="J749" s="21">
        <v>1383.04</v>
      </c>
      <c r="K749" s="11">
        <v>20334.568</v>
      </c>
      <c r="L749" s="11">
        <v>28159.993</v>
      </c>
      <c r="M749" s="11">
        <v>-81.688</v>
      </c>
      <c r="N749" s="11">
        <v>20334.553</v>
      </c>
      <c r="O749" s="11">
        <v>28159.973</v>
      </c>
      <c r="P749" s="11">
        <v>-86.228</v>
      </c>
      <c r="Q749" s="11">
        <v>1396.78</v>
      </c>
      <c r="R749" s="11">
        <v>-19.28</v>
      </c>
      <c r="S749" s="12">
        <v>0.89</v>
      </c>
      <c r="T749" s="14">
        <f t="shared" si="9"/>
        <v>1378.5</v>
      </c>
      <c r="U749" s="14">
        <f t="shared" si="2"/>
        <v>4.54</v>
      </c>
      <c r="V749" s="14">
        <f t="shared" si="3"/>
        <v>-0.01509370629</v>
      </c>
      <c r="W749" s="15" t="str">
        <f t="shared" si="4"/>
        <v/>
      </c>
      <c r="X749" s="11">
        <f t="shared" si="5"/>
        <v>1378.488</v>
      </c>
      <c r="Y749" s="14">
        <f t="shared" si="6"/>
        <v>0.012</v>
      </c>
      <c r="Z749" s="25"/>
      <c r="AA749" s="21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</row>
    <row r="750">
      <c r="A750" s="21"/>
      <c r="B750" s="21"/>
      <c r="C750" s="21"/>
      <c r="D750" s="21"/>
      <c r="E750" s="21"/>
      <c r="F750" s="21" t="s">
        <v>33</v>
      </c>
      <c r="G750" s="21">
        <v>6903.0</v>
      </c>
      <c r="H750" s="26">
        <v>39.567146</v>
      </c>
      <c r="I750" s="26">
        <v>-112.932452</v>
      </c>
      <c r="J750" s="21">
        <v>1436.05</v>
      </c>
      <c r="K750" s="11">
        <v>-2038.687</v>
      </c>
      <c r="L750" s="11">
        <v>30008.659</v>
      </c>
      <c r="M750" s="11">
        <v>-5.089</v>
      </c>
      <c r="N750" s="11">
        <v>-2038.686</v>
      </c>
      <c r="O750" s="11">
        <v>30008.649</v>
      </c>
      <c r="P750" s="11">
        <v>-7.239</v>
      </c>
      <c r="Q750" s="11">
        <v>1452.29</v>
      </c>
      <c r="R750" s="11">
        <v>-19.39</v>
      </c>
      <c r="S750" s="12">
        <v>0.89</v>
      </c>
      <c r="T750" s="14">
        <f t="shared" si="9"/>
        <v>1433.9</v>
      </c>
      <c r="U750" s="14">
        <f t="shared" si="2"/>
        <v>2.15</v>
      </c>
      <c r="V750" s="14">
        <f t="shared" si="3"/>
        <v>-3.021256876</v>
      </c>
      <c r="W750" s="15" t="str">
        <f t="shared" si="4"/>
        <v>✔</v>
      </c>
      <c r="X750" s="11">
        <f t="shared" si="5"/>
        <v>1431.498</v>
      </c>
      <c r="Y750" s="14">
        <f t="shared" si="6"/>
        <v>2.402</v>
      </c>
      <c r="Z750" s="25"/>
      <c r="AA750" s="21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</row>
    <row r="751">
      <c r="A751" s="21"/>
      <c r="B751" s="21"/>
      <c r="C751" s="21"/>
      <c r="D751" s="21"/>
      <c r="E751" s="21"/>
      <c r="F751" s="21" t="s">
        <v>33</v>
      </c>
      <c r="G751" s="21">
        <v>6904.0</v>
      </c>
      <c r="H751" s="26">
        <v>39.565374</v>
      </c>
      <c r="I751" s="26">
        <v>-112.914665</v>
      </c>
      <c r="J751" s="21">
        <v>1422.72</v>
      </c>
      <c r="K751" s="11">
        <v>-509.908</v>
      </c>
      <c r="L751" s="11">
        <v>29811.565</v>
      </c>
      <c r="M751" s="11">
        <v>-17.187</v>
      </c>
      <c r="N751" s="11">
        <v>-509.908</v>
      </c>
      <c r="O751" s="11">
        <v>29811.55</v>
      </c>
      <c r="P751" s="11">
        <v>-20.507</v>
      </c>
      <c r="Q751" s="11">
        <v>1437.81</v>
      </c>
      <c r="R751" s="11">
        <v>-19.41</v>
      </c>
      <c r="S751" s="12">
        <v>0.89</v>
      </c>
      <c r="T751" s="14">
        <f t="shared" si="9"/>
        <v>1419.4</v>
      </c>
      <c r="U751" s="14">
        <f t="shared" si="2"/>
        <v>3.32</v>
      </c>
      <c r="V751" s="14">
        <f t="shared" si="3"/>
        <v>-1.549620513</v>
      </c>
      <c r="W751" s="15" t="str">
        <f t="shared" si="4"/>
        <v/>
      </c>
      <c r="X751" s="11">
        <f t="shared" si="5"/>
        <v>1418.168</v>
      </c>
      <c r="Y751" s="14">
        <f t="shared" si="6"/>
        <v>1.232</v>
      </c>
      <c r="Z751" s="25"/>
      <c r="AA751" s="21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</row>
    <row r="752">
      <c r="A752" s="21"/>
      <c r="B752" s="21"/>
      <c r="C752" s="21"/>
      <c r="D752" s="21"/>
      <c r="E752" s="21"/>
      <c r="F752" s="21" t="s">
        <v>33</v>
      </c>
      <c r="G752" s="21">
        <v>6905.0</v>
      </c>
      <c r="H752" s="26">
        <v>39.565742</v>
      </c>
      <c r="I752" s="26">
        <v>-112.890394</v>
      </c>
      <c r="J752" s="21">
        <v>1405.07</v>
      </c>
      <c r="K752" s="11">
        <v>1576.219</v>
      </c>
      <c r="L752" s="11">
        <v>29852.492</v>
      </c>
      <c r="M752" s="11">
        <v>-35.203</v>
      </c>
      <c r="N752" s="11">
        <v>1576.218</v>
      </c>
      <c r="O752" s="11">
        <v>29852.471</v>
      </c>
      <c r="P752" s="11">
        <v>-39.633</v>
      </c>
      <c r="Q752" s="11">
        <v>1419.05</v>
      </c>
      <c r="R752" s="11">
        <v>-19.41</v>
      </c>
      <c r="S752" s="12">
        <v>0.89</v>
      </c>
      <c r="T752" s="14">
        <f t="shared" si="9"/>
        <v>1400.64</v>
      </c>
      <c r="U752" s="14">
        <f t="shared" si="2"/>
        <v>4.43</v>
      </c>
      <c r="V752" s="14">
        <f t="shared" si="3"/>
        <v>-0.1534526807</v>
      </c>
      <c r="W752" s="15" t="str">
        <f t="shared" si="4"/>
        <v/>
      </c>
      <c r="X752" s="11">
        <f t="shared" si="5"/>
        <v>1400.518</v>
      </c>
      <c r="Y752" s="14">
        <f t="shared" si="6"/>
        <v>0.122</v>
      </c>
      <c r="Z752" s="25"/>
      <c r="AA752" s="21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</row>
    <row r="753">
      <c r="A753" s="21"/>
      <c r="B753" s="21"/>
      <c r="C753" s="21"/>
      <c r="D753" s="21"/>
      <c r="E753" s="21"/>
      <c r="F753" s="21" t="s">
        <v>33</v>
      </c>
      <c r="G753" s="21">
        <v>6906.0</v>
      </c>
      <c r="H753" s="26">
        <v>39.566138</v>
      </c>
      <c r="I753" s="26">
        <v>-112.866261</v>
      </c>
      <c r="J753" s="21">
        <v>1404.78</v>
      </c>
      <c r="K753" s="11">
        <v>3650.459</v>
      </c>
      <c r="L753" s="11">
        <v>29897.163</v>
      </c>
      <c r="M753" s="11">
        <v>-36.552</v>
      </c>
      <c r="N753" s="11">
        <v>3650.456</v>
      </c>
      <c r="O753" s="11">
        <v>29897.146</v>
      </c>
      <c r="P753" s="11">
        <v>-40.262</v>
      </c>
      <c r="Q753" s="11">
        <v>1419.47</v>
      </c>
      <c r="R753" s="11">
        <v>-19.4</v>
      </c>
      <c r="S753" s="12">
        <v>0.89</v>
      </c>
      <c r="T753" s="14">
        <f t="shared" si="9"/>
        <v>1401.07</v>
      </c>
      <c r="U753" s="14">
        <f t="shared" si="2"/>
        <v>3.71</v>
      </c>
      <c r="V753" s="14">
        <f t="shared" si="3"/>
        <v>-1.059075058</v>
      </c>
      <c r="W753" s="15" t="str">
        <f t="shared" si="4"/>
        <v/>
      </c>
      <c r="X753" s="11">
        <f t="shared" si="5"/>
        <v>1400.228</v>
      </c>
      <c r="Y753" s="14">
        <f t="shared" si="6"/>
        <v>0.842</v>
      </c>
      <c r="Z753" s="25"/>
      <c r="AA753" s="21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</row>
    <row r="754">
      <c r="A754" s="21"/>
      <c r="B754" s="21"/>
      <c r="C754" s="21"/>
      <c r="D754" s="21"/>
      <c r="E754" s="21"/>
      <c r="F754" s="21" t="s">
        <v>33</v>
      </c>
      <c r="G754" s="21">
        <v>6907.0</v>
      </c>
      <c r="H754" s="26">
        <v>39.566534</v>
      </c>
      <c r="I754" s="26">
        <v>-112.842013</v>
      </c>
      <c r="J754" s="21">
        <v>1400.37</v>
      </c>
      <c r="K754" s="11">
        <v>5734.555</v>
      </c>
      <c r="L754" s="11">
        <v>29942.376</v>
      </c>
      <c r="M754" s="11">
        <v>-42.705</v>
      </c>
      <c r="N754" s="11">
        <v>5734.551</v>
      </c>
      <c r="O754" s="11">
        <v>29942.358</v>
      </c>
      <c r="P754" s="11">
        <v>-46.425</v>
      </c>
      <c r="Q754" s="11">
        <v>1415.04</v>
      </c>
      <c r="R754" s="11">
        <v>-19.39</v>
      </c>
      <c r="S754" s="12">
        <v>0.89</v>
      </c>
      <c r="T754" s="14">
        <f t="shared" si="9"/>
        <v>1396.65</v>
      </c>
      <c r="U754" s="14">
        <f t="shared" si="2"/>
        <v>3.72</v>
      </c>
      <c r="V754" s="14">
        <f t="shared" si="3"/>
        <v>-1.04649697</v>
      </c>
      <c r="W754" s="15" t="str">
        <f t="shared" si="4"/>
        <v/>
      </c>
      <c r="X754" s="11">
        <f t="shared" si="5"/>
        <v>1395.818</v>
      </c>
      <c r="Y754" s="14">
        <f t="shared" si="6"/>
        <v>0.832</v>
      </c>
      <c r="Z754" s="25"/>
      <c r="AA754" s="21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</row>
    <row r="755">
      <c r="A755" s="21"/>
      <c r="B755" s="21"/>
      <c r="C755" s="21"/>
      <c r="D755" s="21"/>
      <c r="E755" s="21"/>
      <c r="F755" s="21" t="s">
        <v>33</v>
      </c>
      <c r="G755" s="21">
        <v>6908.0</v>
      </c>
      <c r="H755" s="26">
        <v>39.567385</v>
      </c>
      <c r="I755" s="26">
        <v>-112.817771</v>
      </c>
      <c r="J755" s="21">
        <v>1429.87</v>
      </c>
      <c r="K755" s="11">
        <v>7818.098</v>
      </c>
      <c r="L755" s="11">
        <v>30038.834</v>
      </c>
      <c r="M755" s="11">
        <v>-15.87</v>
      </c>
      <c r="N755" s="11">
        <v>7818.091</v>
      </c>
      <c r="O755" s="11">
        <v>30038.809</v>
      </c>
      <c r="P755" s="11">
        <v>-21.19</v>
      </c>
      <c r="Q755" s="11">
        <v>1442.91</v>
      </c>
      <c r="R755" s="11">
        <v>-19.36</v>
      </c>
      <c r="S755" s="12">
        <v>0.89</v>
      </c>
      <c r="T755" s="14">
        <f t="shared" si="9"/>
        <v>1424.55</v>
      </c>
      <c r="U755" s="14">
        <f t="shared" si="2"/>
        <v>5.32</v>
      </c>
      <c r="V755" s="14">
        <f t="shared" si="3"/>
        <v>0.9659972028</v>
      </c>
      <c r="W755" s="15" t="str">
        <f t="shared" si="4"/>
        <v/>
      </c>
      <c r="X755" s="11">
        <f t="shared" si="5"/>
        <v>1425.318</v>
      </c>
      <c r="Y755" s="14">
        <f t="shared" si="6"/>
        <v>-0.768</v>
      </c>
      <c r="Z755" s="25"/>
      <c r="AA755" s="21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</row>
    <row r="756">
      <c r="A756" s="21"/>
      <c r="B756" s="21"/>
      <c r="C756" s="21"/>
      <c r="D756" s="21"/>
      <c r="E756" s="21"/>
      <c r="F756" s="21" t="s">
        <v>33</v>
      </c>
      <c r="G756" s="21">
        <v>6909.0</v>
      </c>
      <c r="H756" s="26">
        <v>39.567296</v>
      </c>
      <c r="I756" s="26">
        <v>-112.793615</v>
      </c>
      <c r="J756" s="21">
        <v>1445.19</v>
      </c>
      <c r="K756" s="11">
        <v>9894.328</v>
      </c>
      <c r="L756" s="11">
        <v>30031.388</v>
      </c>
      <c r="M756" s="11">
        <v>-3.393</v>
      </c>
      <c r="N756" s="11">
        <v>9894.322</v>
      </c>
      <c r="O756" s="11">
        <v>30031.37</v>
      </c>
      <c r="P756" s="11">
        <v>-7.123</v>
      </c>
      <c r="Q756" s="11">
        <v>1459.8</v>
      </c>
      <c r="R756" s="11">
        <v>-19.34</v>
      </c>
      <c r="S756" s="12">
        <v>0.89</v>
      </c>
      <c r="T756" s="14">
        <f t="shared" si="9"/>
        <v>1441.46</v>
      </c>
      <c r="U756" s="14">
        <f t="shared" si="2"/>
        <v>3.73</v>
      </c>
      <c r="V756" s="14">
        <f t="shared" si="3"/>
        <v>-1.033918881</v>
      </c>
      <c r="W756" s="15" t="str">
        <f t="shared" si="4"/>
        <v/>
      </c>
      <c r="X756" s="11">
        <f t="shared" si="5"/>
        <v>1440.638</v>
      </c>
      <c r="Y756" s="14">
        <f t="shared" si="6"/>
        <v>0.822</v>
      </c>
      <c r="Z756" s="25"/>
      <c r="AA756" s="21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</row>
    <row r="757">
      <c r="A757" s="21"/>
      <c r="B757" s="21"/>
      <c r="C757" s="21"/>
      <c r="D757" s="21"/>
      <c r="E757" s="21"/>
      <c r="F757" s="21" t="s">
        <v>33</v>
      </c>
      <c r="G757" s="21">
        <v>6910.0</v>
      </c>
      <c r="H757" s="26">
        <v>39.567671</v>
      </c>
      <c r="I757" s="26">
        <v>-112.769414</v>
      </c>
      <c r="J757" s="21">
        <v>1386.8</v>
      </c>
      <c r="K757" s="11">
        <v>11974.221</v>
      </c>
      <c r="L757" s="11">
        <v>30075.68</v>
      </c>
      <c r="M757" s="11">
        <v>-65.553</v>
      </c>
      <c r="N757" s="11">
        <v>11974.214</v>
      </c>
      <c r="O757" s="11">
        <v>30075.661</v>
      </c>
      <c r="P757" s="11">
        <v>-69.613</v>
      </c>
      <c r="Q757" s="11">
        <v>1401.06</v>
      </c>
      <c r="R757" s="11">
        <v>-19.32</v>
      </c>
      <c r="S757" s="12">
        <v>0.89</v>
      </c>
      <c r="T757" s="14">
        <f t="shared" si="9"/>
        <v>1382.74</v>
      </c>
      <c r="U757" s="14">
        <f t="shared" si="2"/>
        <v>4.06</v>
      </c>
      <c r="V757" s="14">
        <f t="shared" si="3"/>
        <v>-0.618841958</v>
      </c>
      <c r="W757" s="15" t="str">
        <f t="shared" si="4"/>
        <v/>
      </c>
      <c r="X757" s="11">
        <f t="shared" si="5"/>
        <v>1382.248</v>
      </c>
      <c r="Y757" s="14">
        <f t="shared" si="6"/>
        <v>0.492</v>
      </c>
      <c r="Z757" s="25"/>
      <c r="AA757" s="21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</row>
    <row r="758">
      <c r="A758" s="21"/>
      <c r="B758" s="21"/>
      <c r="C758" s="21"/>
      <c r="D758" s="21"/>
      <c r="E758" s="21"/>
      <c r="F758" s="21" t="s">
        <v>33</v>
      </c>
      <c r="G758" s="21">
        <v>6911.0</v>
      </c>
      <c r="H758" s="26">
        <v>39.568031</v>
      </c>
      <c r="I758" s="26">
        <v>-112.745157</v>
      </c>
      <c r="J758" s="21">
        <v>1377.58</v>
      </c>
      <c r="K758" s="11">
        <v>14058.976</v>
      </c>
      <c r="L758" s="11">
        <v>30119.105</v>
      </c>
      <c r="M758" s="11">
        <v>-79.226</v>
      </c>
      <c r="N758" s="11">
        <v>14058.969</v>
      </c>
      <c r="O758" s="11">
        <v>30119.088</v>
      </c>
      <c r="P758" s="11">
        <v>-82.716</v>
      </c>
      <c r="Q758" s="11">
        <v>1392.39</v>
      </c>
      <c r="R758" s="11">
        <v>-19.3</v>
      </c>
      <c r="S758" s="12">
        <v>0.89</v>
      </c>
      <c r="T758" s="14">
        <f t="shared" si="9"/>
        <v>1374.09</v>
      </c>
      <c r="U758" s="14">
        <f t="shared" si="2"/>
        <v>3.49</v>
      </c>
      <c r="V758" s="14">
        <f t="shared" si="3"/>
        <v>-1.335793007</v>
      </c>
      <c r="W758" s="15" t="str">
        <f t="shared" si="4"/>
        <v/>
      </c>
      <c r="X758" s="11">
        <f t="shared" si="5"/>
        <v>1373.028</v>
      </c>
      <c r="Y758" s="14">
        <f t="shared" si="6"/>
        <v>1.062</v>
      </c>
      <c r="Z758" s="25"/>
      <c r="AA758" s="21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</row>
    <row r="759">
      <c r="A759" s="21"/>
      <c r="B759" s="21"/>
      <c r="C759" s="21"/>
      <c r="D759" s="21"/>
      <c r="E759" s="21"/>
      <c r="F759" s="21" t="s">
        <v>33</v>
      </c>
      <c r="G759" s="21">
        <v>6912.0</v>
      </c>
      <c r="H759" s="26">
        <v>39.568384</v>
      </c>
      <c r="I759" s="26">
        <v>-112.720984</v>
      </c>
      <c r="J759" s="21">
        <v>1377.87</v>
      </c>
      <c r="K759" s="11">
        <v>16136.508</v>
      </c>
      <c r="L759" s="11">
        <v>30162.341</v>
      </c>
      <c r="M759" s="11">
        <v>-84.051</v>
      </c>
      <c r="N759" s="11">
        <v>16136.498</v>
      </c>
      <c r="O759" s="11">
        <v>30162.322</v>
      </c>
      <c r="P759" s="11">
        <v>-87.911</v>
      </c>
      <c r="Q759" s="11">
        <v>1392.29</v>
      </c>
      <c r="R759" s="11">
        <v>-19.28</v>
      </c>
      <c r="S759" s="12">
        <v>0.89</v>
      </c>
      <c r="T759" s="14">
        <f t="shared" si="9"/>
        <v>1374.01</v>
      </c>
      <c r="U759" s="14">
        <f t="shared" si="2"/>
        <v>3.86</v>
      </c>
      <c r="V759" s="14">
        <f t="shared" si="3"/>
        <v>-0.8704037296</v>
      </c>
      <c r="W759" s="15" t="str">
        <f t="shared" si="4"/>
        <v/>
      </c>
      <c r="X759" s="11">
        <f t="shared" si="5"/>
        <v>1373.318</v>
      </c>
      <c r="Y759" s="14">
        <f t="shared" si="6"/>
        <v>0.692</v>
      </c>
      <c r="Z759" s="25"/>
      <c r="AA759" s="21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</row>
    <row r="760">
      <c r="A760" s="21"/>
      <c r="B760" s="21"/>
      <c r="C760" s="21"/>
      <c r="D760" s="21"/>
      <c r="E760" s="21"/>
      <c r="F760" s="21" t="s">
        <v>33</v>
      </c>
      <c r="G760" s="21">
        <v>6913.0</v>
      </c>
      <c r="H760" s="26">
        <v>39.566311</v>
      </c>
      <c r="I760" s="26">
        <v>-112.696791</v>
      </c>
      <c r="J760" s="21">
        <v>1381.22</v>
      </c>
      <c r="K760" s="11">
        <v>18216.377</v>
      </c>
      <c r="L760" s="11">
        <v>29936.745</v>
      </c>
      <c r="M760" s="11">
        <v>-85.228</v>
      </c>
      <c r="N760" s="11">
        <v>18216.369</v>
      </c>
      <c r="O760" s="11">
        <v>29936.731</v>
      </c>
      <c r="P760" s="11">
        <v>-88.238</v>
      </c>
      <c r="Q760" s="11">
        <v>1396.47</v>
      </c>
      <c r="R760" s="11">
        <v>-19.26</v>
      </c>
      <c r="S760" s="12">
        <v>0.89</v>
      </c>
      <c r="T760" s="14">
        <f t="shared" si="9"/>
        <v>1378.21</v>
      </c>
      <c r="U760" s="14">
        <f t="shared" si="2"/>
        <v>3.01</v>
      </c>
      <c r="V760" s="14">
        <f t="shared" si="3"/>
        <v>-1.939541259</v>
      </c>
      <c r="W760" s="15" t="str">
        <f t="shared" si="4"/>
        <v/>
      </c>
      <c r="X760" s="11">
        <f t="shared" si="5"/>
        <v>1376.668</v>
      </c>
      <c r="Y760" s="14">
        <f t="shared" si="6"/>
        <v>1.542</v>
      </c>
      <c r="Z760" s="25"/>
      <c r="AA760" s="21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</row>
    <row r="761">
      <c r="A761" s="21"/>
      <c r="B761" s="21"/>
      <c r="C761" s="21"/>
      <c r="D761" s="21"/>
      <c r="E761" s="21"/>
      <c r="F761" s="21" t="s">
        <v>33</v>
      </c>
      <c r="G761" s="21">
        <v>6914.0</v>
      </c>
      <c r="H761" s="26">
        <v>39.569104</v>
      </c>
      <c r="I761" s="26">
        <v>-112.671447</v>
      </c>
      <c r="J761" s="21">
        <v>1380.52</v>
      </c>
      <c r="K761" s="11">
        <v>20393.862</v>
      </c>
      <c r="L761" s="11">
        <v>30252.31</v>
      </c>
      <c r="M761" s="11">
        <v>-94.001</v>
      </c>
      <c r="N761" s="11">
        <v>20393.85</v>
      </c>
      <c r="O761" s="11">
        <v>30252.292</v>
      </c>
      <c r="P761" s="11">
        <v>-97.831</v>
      </c>
      <c r="Q761" s="11">
        <v>1394.91</v>
      </c>
      <c r="R761" s="11">
        <v>-19.22</v>
      </c>
      <c r="S761" s="12">
        <v>0.89</v>
      </c>
      <c r="T761" s="14">
        <f t="shared" si="9"/>
        <v>1376.69</v>
      </c>
      <c r="U761" s="14">
        <f t="shared" si="2"/>
        <v>3.83</v>
      </c>
      <c r="V761" s="14">
        <f t="shared" si="3"/>
        <v>-0.9081379953</v>
      </c>
      <c r="W761" s="15" t="str">
        <f t="shared" si="4"/>
        <v/>
      </c>
      <c r="X761" s="11">
        <f t="shared" si="5"/>
        <v>1375.968</v>
      </c>
      <c r="Y761" s="14">
        <f t="shared" si="6"/>
        <v>0.722</v>
      </c>
      <c r="Z761" s="25"/>
      <c r="AA761" s="21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</row>
    <row r="762">
      <c r="A762" s="21"/>
      <c r="B762" s="21"/>
      <c r="C762" s="21"/>
      <c r="D762" s="21"/>
      <c r="E762" s="21"/>
      <c r="F762" s="21" t="s">
        <v>33</v>
      </c>
      <c r="G762" s="21">
        <v>7003.0</v>
      </c>
      <c r="H762" s="26">
        <v>39.583661</v>
      </c>
      <c r="I762" s="26">
        <v>-112.939428</v>
      </c>
      <c r="J762" s="21">
        <v>1459.31</v>
      </c>
      <c r="K762" s="11">
        <v>-2637.657</v>
      </c>
      <c r="L762" s="11">
        <v>31842.95</v>
      </c>
      <c r="M762" s="11">
        <v>9.037</v>
      </c>
      <c r="N762" s="11">
        <v>-2637.655</v>
      </c>
      <c r="O762" s="11">
        <v>31842.925</v>
      </c>
      <c r="P762" s="11">
        <v>3.897</v>
      </c>
      <c r="Q762" s="11">
        <v>1472.54</v>
      </c>
      <c r="R762" s="11">
        <v>-19.37</v>
      </c>
      <c r="S762" s="12">
        <v>0.89</v>
      </c>
      <c r="T762" s="14">
        <f t="shared" si="9"/>
        <v>1454.17</v>
      </c>
      <c r="U762" s="14">
        <f t="shared" si="2"/>
        <v>5.14</v>
      </c>
      <c r="V762" s="14">
        <f t="shared" si="3"/>
        <v>0.7395916084</v>
      </c>
      <c r="W762" s="15" t="str">
        <f t="shared" si="4"/>
        <v/>
      </c>
      <c r="X762" s="11">
        <f t="shared" si="5"/>
        <v>1454.758</v>
      </c>
      <c r="Y762" s="14">
        <f t="shared" si="6"/>
        <v>-0.588</v>
      </c>
      <c r="Z762" s="25"/>
      <c r="AA762" s="21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</row>
    <row r="763">
      <c r="A763" s="21"/>
      <c r="B763" s="21"/>
      <c r="C763" s="21"/>
      <c r="D763" s="21"/>
      <c r="E763" s="21"/>
      <c r="F763" s="21" t="s">
        <v>33</v>
      </c>
      <c r="G763" s="21">
        <v>7004.0</v>
      </c>
      <c r="H763" s="26">
        <v>39.584026</v>
      </c>
      <c r="I763" s="26">
        <v>-112.915113</v>
      </c>
      <c r="J763" s="21">
        <v>1435.44</v>
      </c>
      <c r="K763" s="11">
        <v>-548.269</v>
      </c>
      <c r="L763" s="11">
        <v>31882.936</v>
      </c>
      <c r="M763" s="11">
        <v>-14.513</v>
      </c>
      <c r="N763" s="11">
        <v>-548.268</v>
      </c>
      <c r="O763" s="11">
        <v>31882.917</v>
      </c>
      <c r="P763" s="11">
        <v>-18.363</v>
      </c>
      <c r="Q763" s="11">
        <v>1449.98</v>
      </c>
      <c r="R763" s="11">
        <v>-19.39</v>
      </c>
      <c r="S763" s="12">
        <v>0.89</v>
      </c>
      <c r="T763" s="14">
        <f t="shared" si="9"/>
        <v>1431.59</v>
      </c>
      <c r="U763" s="14">
        <f t="shared" si="2"/>
        <v>3.85</v>
      </c>
      <c r="V763" s="14">
        <f t="shared" si="3"/>
        <v>-0.8829818182</v>
      </c>
      <c r="W763" s="15" t="str">
        <f t="shared" si="4"/>
        <v/>
      </c>
      <c r="X763" s="11">
        <f t="shared" si="5"/>
        <v>1430.888</v>
      </c>
      <c r="Y763" s="14">
        <f t="shared" si="6"/>
        <v>0.702</v>
      </c>
      <c r="Z763" s="25"/>
      <c r="AA763" s="21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</row>
    <row r="764">
      <c r="A764" s="21"/>
      <c r="B764" s="21"/>
      <c r="C764" s="21"/>
      <c r="D764" s="21"/>
      <c r="E764" s="21"/>
      <c r="F764" s="21" t="s">
        <v>33</v>
      </c>
      <c r="G764" s="21">
        <v>7005.0</v>
      </c>
      <c r="H764" s="26">
        <v>39.584475</v>
      </c>
      <c r="I764" s="26">
        <v>-112.890956</v>
      </c>
      <c r="J764" s="21">
        <v>1425.39</v>
      </c>
      <c r="K764" s="11">
        <v>1527.508</v>
      </c>
      <c r="L764" s="11">
        <v>31932.878</v>
      </c>
      <c r="M764" s="11">
        <v>-24.972</v>
      </c>
      <c r="N764" s="11">
        <v>1527.507</v>
      </c>
      <c r="O764" s="11">
        <v>31932.856</v>
      </c>
      <c r="P764" s="11">
        <v>-29.302</v>
      </c>
      <c r="Q764" s="11">
        <v>1439.45</v>
      </c>
      <c r="R764" s="11">
        <v>-19.39</v>
      </c>
      <c r="S764" s="12">
        <v>0.89</v>
      </c>
      <c r="T764" s="14">
        <f t="shared" si="9"/>
        <v>1421.06</v>
      </c>
      <c r="U764" s="14">
        <f t="shared" si="2"/>
        <v>4.33</v>
      </c>
      <c r="V764" s="14">
        <f t="shared" si="3"/>
        <v>-0.2792335664</v>
      </c>
      <c r="W764" s="15" t="str">
        <f t="shared" si="4"/>
        <v/>
      </c>
      <c r="X764" s="11">
        <f t="shared" si="5"/>
        <v>1420.838</v>
      </c>
      <c r="Y764" s="14">
        <f t="shared" si="6"/>
        <v>0.222</v>
      </c>
      <c r="Z764" s="25"/>
      <c r="AA764" s="21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</row>
    <row r="765">
      <c r="A765" s="21"/>
      <c r="B765" s="21"/>
      <c r="C765" s="21"/>
      <c r="D765" s="21"/>
      <c r="E765" s="21"/>
      <c r="F765" s="21" t="s">
        <v>33</v>
      </c>
      <c r="G765" s="21">
        <v>7006.0</v>
      </c>
      <c r="H765" s="26">
        <v>39.584875</v>
      </c>
      <c r="I765" s="26">
        <v>-112.866757</v>
      </c>
      <c r="J765" s="21">
        <v>1415.23</v>
      </c>
      <c r="K765" s="11">
        <v>3606.862</v>
      </c>
      <c r="L765" s="11">
        <v>31977.934</v>
      </c>
      <c r="M765" s="11">
        <v>-36.195</v>
      </c>
      <c r="N765" s="11">
        <v>3606.859</v>
      </c>
      <c r="O765" s="11">
        <v>31977.913</v>
      </c>
      <c r="P765" s="11">
        <v>-40.194</v>
      </c>
      <c r="Q765" s="11">
        <v>1429.61</v>
      </c>
      <c r="R765" s="11">
        <v>-19.38</v>
      </c>
      <c r="S765" s="12">
        <v>0.89</v>
      </c>
      <c r="T765" s="14">
        <f t="shared" si="9"/>
        <v>1411.23</v>
      </c>
      <c r="U765" s="14">
        <f t="shared" si="2"/>
        <v>4</v>
      </c>
      <c r="V765" s="14">
        <f t="shared" si="3"/>
        <v>-0.6943104895</v>
      </c>
      <c r="W765" s="15" t="str">
        <f t="shared" si="4"/>
        <v/>
      </c>
      <c r="X765" s="11">
        <f t="shared" si="5"/>
        <v>1410.678</v>
      </c>
      <c r="Y765" s="14">
        <f t="shared" si="6"/>
        <v>0.552</v>
      </c>
      <c r="Z765" s="25"/>
      <c r="AA765" s="21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</row>
    <row r="766">
      <c r="A766" s="21"/>
      <c r="B766" s="21"/>
      <c r="C766" s="21"/>
      <c r="D766" s="21"/>
      <c r="E766" s="21"/>
      <c r="F766" s="21" t="s">
        <v>33</v>
      </c>
      <c r="G766" s="21">
        <v>7007.0</v>
      </c>
      <c r="H766" s="26">
        <v>39.585387</v>
      </c>
      <c r="I766" s="26">
        <v>-112.842947</v>
      </c>
      <c r="J766" s="21">
        <v>1440.55</v>
      </c>
      <c r="K766" s="11">
        <v>5652.781</v>
      </c>
      <c r="L766" s="11">
        <v>32036.137</v>
      </c>
      <c r="M766" s="11">
        <v>-12.65</v>
      </c>
      <c r="N766" s="11">
        <v>5652.777</v>
      </c>
      <c r="O766" s="11">
        <v>32036.115</v>
      </c>
      <c r="P766" s="11">
        <v>-17.15</v>
      </c>
      <c r="Q766" s="11">
        <v>1454.41</v>
      </c>
      <c r="R766" s="11">
        <v>-19.36</v>
      </c>
      <c r="S766" s="12">
        <v>0.89</v>
      </c>
      <c r="T766" s="14">
        <f t="shared" si="9"/>
        <v>1436.05</v>
      </c>
      <c r="U766" s="14">
        <f t="shared" si="2"/>
        <v>4.5</v>
      </c>
      <c r="V766" s="14">
        <f t="shared" si="3"/>
        <v>-0.06540606061</v>
      </c>
      <c r="W766" s="15" t="str">
        <f t="shared" si="4"/>
        <v/>
      </c>
      <c r="X766" s="11">
        <f t="shared" si="5"/>
        <v>1435.998</v>
      </c>
      <c r="Y766" s="14">
        <f t="shared" si="6"/>
        <v>0.052</v>
      </c>
      <c r="Z766" s="25"/>
      <c r="AA766" s="21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</row>
    <row r="767">
      <c r="A767" s="21"/>
      <c r="B767" s="21"/>
      <c r="C767" s="21"/>
      <c r="D767" s="21"/>
      <c r="E767" s="21"/>
      <c r="F767" s="21" t="s">
        <v>33</v>
      </c>
      <c r="G767" s="21">
        <v>7008.0</v>
      </c>
      <c r="H767" s="26">
        <v>39.585643</v>
      </c>
      <c r="I767" s="26">
        <v>-112.818312</v>
      </c>
      <c r="J767" s="21">
        <v>1458.2</v>
      </c>
      <c r="K767" s="11">
        <v>7769.595</v>
      </c>
      <c r="L767" s="11">
        <v>32066.483</v>
      </c>
      <c r="M767" s="11">
        <v>2.624</v>
      </c>
      <c r="N767" s="11">
        <v>7769.59</v>
      </c>
      <c r="O767" s="11">
        <v>32066.463</v>
      </c>
      <c r="P767" s="11">
        <v>-1.276</v>
      </c>
      <c r="Q767" s="11">
        <v>1472.62</v>
      </c>
      <c r="R767" s="11">
        <v>-19.32</v>
      </c>
      <c r="S767" s="12">
        <v>0.89</v>
      </c>
      <c r="T767" s="14">
        <f t="shared" si="9"/>
        <v>1454.3</v>
      </c>
      <c r="U767" s="14">
        <f t="shared" si="2"/>
        <v>3.9</v>
      </c>
      <c r="V767" s="14">
        <f t="shared" si="3"/>
        <v>-0.8200913753</v>
      </c>
      <c r="W767" s="15" t="str">
        <f t="shared" si="4"/>
        <v/>
      </c>
      <c r="X767" s="11">
        <f t="shared" si="5"/>
        <v>1453.648</v>
      </c>
      <c r="Y767" s="14">
        <f t="shared" si="6"/>
        <v>0.652</v>
      </c>
      <c r="Z767" s="25"/>
      <c r="AA767" s="21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</row>
    <row r="768">
      <c r="A768" s="21"/>
      <c r="B768" s="21"/>
      <c r="C768" s="21"/>
      <c r="D768" s="21"/>
      <c r="E768" s="21"/>
      <c r="F768" s="21" t="s">
        <v>33</v>
      </c>
      <c r="G768" s="21">
        <v>7009.0</v>
      </c>
      <c r="H768" s="26">
        <v>39.585676</v>
      </c>
      <c r="I768" s="26">
        <v>-112.793697</v>
      </c>
      <c r="J768" s="21">
        <v>1491.24</v>
      </c>
      <c r="K768" s="11">
        <v>9884.74</v>
      </c>
      <c r="L768" s="11">
        <v>32072.716</v>
      </c>
      <c r="M768" s="11">
        <v>32.71</v>
      </c>
      <c r="N768" s="11">
        <v>9884.733</v>
      </c>
      <c r="O768" s="11">
        <v>32072.69</v>
      </c>
      <c r="P768" s="11">
        <v>27.71</v>
      </c>
      <c r="Q768" s="11">
        <v>1504.53</v>
      </c>
      <c r="R768" s="11">
        <v>-19.29</v>
      </c>
      <c r="S768" s="12">
        <v>0.89</v>
      </c>
      <c r="T768" s="14">
        <f t="shared" si="9"/>
        <v>1486.24</v>
      </c>
      <c r="U768" s="14">
        <f t="shared" si="2"/>
        <v>5</v>
      </c>
      <c r="V768" s="14">
        <f t="shared" si="3"/>
        <v>0.5634983683</v>
      </c>
      <c r="W768" s="15" t="str">
        <f t="shared" si="4"/>
        <v/>
      </c>
      <c r="X768" s="11">
        <f t="shared" si="5"/>
        <v>1486.688</v>
      </c>
      <c r="Y768" s="14">
        <f t="shared" si="6"/>
        <v>-0.448</v>
      </c>
      <c r="Z768" s="25"/>
      <c r="AA768" s="21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</row>
    <row r="769">
      <c r="A769" s="21"/>
      <c r="B769" s="21"/>
      <c r="C769" s="21"/>
      <c r="D769" s="21"/>
      <c r="E769" s="21"/>
      <c r="F769" s="21" t="s">
        <v>33</v>
      </c>
      <c r="G769" s="21">
        <v>7010.0</v>
      </c>
      <c r="H769" s="26">
        <v>39.586386</v>
      </c>
      <c r="I769" s="26">
        <v>-112.769856</v>
      </c>
      <c r="J769" s="21">
        <v>1446.17</v>
      </c>
      <c r="K769" s="11">
        <v>11933.134</v>
      </c>
      <c r="L769" s="11">
        <v>32154.209</v>
      </c>
      <c r="M769" s="11">
        <v>-16.27</v>
      </c>
      <c r="N769" s="11">
        <v>11933.128</v>
      </c>
      <c r="O769" s="11">
        <v>32154.195</v>
      </c>
      <c r="P769" s="11">
        <v>-19.02</v>
      </c>
      <c r="Q769" s="11">
        <v>1461.68</v>
      </c>
      <c r="R769" s="11">
        <v>-19.26</v>
      </c>
      <c r="S769" s="12">
        <v>0.89</v>
      </c>
      <c r="T769" s="14">
        <f t="shared" si="9"/>
        <v>1443.42</v>
      </c>
      <c r="U769" s="14">
        <f t="shared" si="2"/>
        <v>2.75</v>
      </c>
      <c r="V769" s="14">
        <f t="shared" si="3"/>
        <v>-2.266571562</v>
      </c>
      <c r="W769" s="15" t="str">
        <f t="shared" si="4"/>
        <v/>
      </c>
      <c r="X769" s="11">
        <f t="shared" si="5"/>
        <v>1441.618</v>
      </c>
      <c r="Y769" s="14">
        <f t="shared" si="6"/>
        <v>1.802</v>
      </c>
      <c r="Z769" s="25"/>
      <c r="AA769" s="21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</row>
    <row r="770">
      <c r="A770" s="21"/>
      <c r="B770" s="21"/>
      <c r="C770" s="21"/>
      <c r="D770" s="21"/>
      <c r="E770" s="21"/>
      <c r="F770" s="21" t="s">
        <v>33</v>
      </c>
      <c r="G770" s="21">
        <v>7011.0</v>
      </c>
      <c r="H770" s="26">
        <v>39.586765</v>
      </c>
      <c r="I770" s="26">
        <v>-112.743813</v>
      </c>
      <c r="J770" s="21">
        <v>1409.01</v>
      </c>
      <c r="K770" s="11">
        <v>14170.745</v>
      </c>
      <c r="L770" s="11">
        <v>32199.866</v>
      </c>
      <c r="M770" s="11">
        <v>-58.233</v>
      </c>
      <c r="N770" s="11">
        <v>14170.732</v>
      </c>
      <c r="O770" s="11">
        <v>32199.838</v>
      </c>
      <c r="P770" s="11">
        <v>-63.863</v>
      </c>
      <c r="Q770" s="11">
        <v>1421.62</v>
      </c>
      <c r="R770" s="11">
        <v>-19.24</v>
      </c>
      <c r="S770" s="12">
        <v>0.89</v>
      </c>
      <c r="T770" s="14">
        <f t="shared" si="9"/>
        <v>1403.38</v>
      </c>
      <c r="U770" s="14">
        <f t="shared" si="2"/>
        <v>5.63</v>
      </c>
      <c r="V770" s="14">
        <f t="shared" si="3"/>
        <v>1.355917949</v>
      </c>
      <c r="W770" s="15" t="str">
        <f t="shared" si="4"/>
        <v/>
      </c>
      <c r="X770" s="11">
        <f t="shared" si="5"/>
        <v>1404.458</v>
      </c>
      <c r="Y770" s="14">
        <f t="shared" si="6"/>
        <v>-1.078</v>
      </c>
      <c r="Z770" s="25"/>
      <c r="AA770" s="21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</row>
    <row r="771">
      <c r="A771" s="21"/>
      <c r="B771" s="21"/>
      <c r="C771" s="21"/>
      <c r="D771" s="21"/>
      <c r="E771" s="21"/>
      <c r="F771" s="21" t="s">
        <v>33</v>
      </c>
      <c r="G771" s="21">
        <v>7012.0</v>
      </c>
      <c r="H771" s="26">
        <v>39.587081</v>
      </c>
      <c r="I771" s="26">
        <v>-112.721451</v>
      </c>
      <c r="J771" s="21">
        <v>1379.74</v>
      </c>
      <c r="K771" s="11">
        <v>16092.051</v>
      </c>
      <c r="L771" s="11">
        <v>32238.55</v>
      </c>
      <c r="M771" s="11">
        <v>-92.25</v>
      </c>
      <c r="N771" s="11">
        <v>16092.04</v>
      </c>
      <c r="O771" s="11">
        <v>32238.527</v>
      </c>
      <c r="P771" s="11">
        <v>-96.72</v>
      </c>
      <c r="Q771" s="11">
        <v>1393.49</v>
      </c>
      <c r="R771" s="11">
        <v>-19.22</v>
      </c>
      <c r="S771" s="12">
        <v>0.89</v>
      </c>
      <c r="T771" s="14">
        <f t="shared" si="9"/>
        <v>1375.27</v>
      </c>
      <c r="U771" s="14">
        <f t="shared" si="2"/>
        <v>4.47</v>
      </c>
      <c r="V771" s="14">
        <f t="shared" si="3"/>
        <v>-0.1031403263</v>
      </c>
      <c r="W771" s="15" t="str">
        <f t="shared" si="4"/>
        <v/>
      </c>
      <c r="X771" s="11">
        <f t="shared" si="5"/>
        <v>1375.188</v>
      </c>
      <c r="Y771" s="14">
        <f t="shared" si="6"/>
        <v>0.082</v>
      </c>
      <c r="Z771" s="25"/>
      <c r="AA771" s="21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</row>
    <row r="772">
      <c r="A772" s="21"/>
      <c r="B772" s="21"/>
      <c r="C772" s="21"/>
      <c r="D772" s="21"/>
      <c r="E772" s="21"/>
      <c r="F772" s="21" t="s">
        <v>33</v>
      </c>
      <c r="G772" s="21">
        <v>7013.0</v>
      </c>
      <c r="H772" s="26">
        <v>39.586514</v>
      </c>
      <c r="I772" s="26">
        <v>-112.702463</v>
      </c>
      <c r="J772" s="21">
        <v>1380.82</v>
      </c>
      <c r="K772" s="11">
        <v>17723.724</v>
      </c>
      <c r="L772" s="11">
        <v>32179.139</v>
      </c>
      <c r="M772" s="11">
        <v>-95.188</v>
      </c>
      <c r="N772" s="11">
        <v>17723.714</v>
      </c>
      <c r="O772" s="11">
        <v>32179.122</v>
      </c>
      <c r="P772" s="11">
        <v>-98.628</v>
      </c>
      <c r="Q772" s="11">
        <v>1395.59</v>
      </c>
      <c r="R772" s="11">
        <v>-19.21</v>
      </c>
      <c r="S772" s="12">
        <v>0.89</v>
      </c>
      <c r="T772" s="14">
        <f t="shared" si="9"/>
        <v>1377.38</v>
      </c>
      <c r="U772" s="14">
        <f t="shared" si="2"/>
        <v>3.44</v>
      </c>
      <c r="V772" s="14">
        <f t="shared" si="3"/>
        <v>-1.39868345</v>
      </c>
      <c r="W772" s="15" t="str">
        <f t="shared" si="4"/>
        <v/>
      </c>
      <c r="X772" s="11">
        <f t="shared" si="5"/>
        <v>1376.268</v>
      </c>
      <c r="Y772" s="14">
        <f t="shared" si="6"/>
        <v>1.112</v>
      </c>
      <c r="Z772" s="25"/>
      <c r="AA772" s="21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</row>
    <row r="773">
      <c r="A773" s="21"/>
      <c r="B773" s="21"/>
      <c r="C773" s="21"/>
      <c r="D773" s="21"/>
      <c r="E773" s="21"/>
      <c r="F773" s="21" t="s">
        <v>33</v>
      </c>
      <c r="G773" s="21">
        <v>7014.0</v>
      </c>
      <c r="H773" s="26">
        <v>39.587827</v>
      </c>
      <c r="I773" s="26">
        <v>-112.673039</v>
      </c>
      <c r="J773" s="21">
        <v>1384.2</v>
      </c>
      <c r="K773" s="11">
        <v>20251.598</v>
      </c>
      <c r="L773" s="11">
        <v>32331.14</v>
      </c>
      <c r="M773" s="11">
        <v>-100.093</v>
      </c>
      <c r="N773" s="11">
        <v>20251.586</v>
      </c>
      <c r="O773" s="11">
        <v>32331.12</v>
      </c>
      <c r="P773" s="11">
        <v>-104.082</v>
      </c>
      <c r="Q773" s="11">
        <v>1398.38</v>
      </c>
      <c r="R773" s="11">
        <v>-19.17</v>
      </c>
      <c r="S773" s="12">
        <v>0.89</v>
      </c>
      <c r="T773" s="14">
        <f t="shared" si="9"/>
        <v>1380.21</v>
      </c>
      <c r="U773" s="14">
        <f t="shared" si="2"/>
        <v>3.99</v>
      </c>
      <c r="V773" s="14">
        <f t="shared" si="3"/>
        <v>-0.7068885781</v>
      </c>
      <c r="W773" s="15" t="str">
        <f t="shared" si="4"/>
        <v/>
      </c>
      <c r="X773" s="11">
        <f t="shared" si="5"/>
        <v>1379.648</v>
      </c>
      <c r="Y773" s="14">
        <f t="shared" si="6"/>
        <v>0.562</v>
      </c>
      <c r="Z773" s="25"/>
      <c r="AA773" s="21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</row>
    <row r="774">
      <c r="A774" s="21"/>
      <c r="B774" s="21"/>
      <c r="C774" s="21"/>
      <c r="D774" s="21"/>
      <c r="E774" s="21"/>
      <c r="F774" s="21" t="s">
        <v>33</v>
      </c>
      <c r="G774" s="21">
        <v>7103.0</v>
      </c>
      <c r="H774" s="26">
        <v>39.602416</v>
      </c>
      <c r="I774" s="26">
        <v>-112.939841</v>
      </c>
      <c r="J774" s="21">
        <v>1471.5</v>
      </c>
      <c r="K774" s="11">
        <v>-2672.431</v>
      </c>
      <c r="L774" s="11">
        <v>33925.785</v>
      </c>
      <c r="M774" s="11">
        <v>10.448</v>
      </c>
      <c r="N774" s="11">
        <v>-2672.429</v>
      </c>
      <c r="O774" s="11">
        <v>33925.766</v>
      </c>
      <c r="P774" s="11">
        <v>6.828</v>
      </c>
      <c r="Q774" s="11">
        <v>1486.24</v>
      </c>
      <c r="R774" s="11">
        <v>-19.36</v>
      </c>
      <c r="S774" s="12">
        <v>0.89</v>
      </c>
      <c r="T774" s="14">
        <f t="shared" si="9"/>
        <v>1467.88</v>
      </c>
      <c r="U774" s="14">
        <f t="shared" si="2"/>
        <v>3.62</v>
      </c>
      <c r="V774" s="14">
        <f t="shared" si="3"/>
        <v>-1.172277855</v>
      </c>
      <c r="W774" s="15" t="str">
        <f t="shared" si="4"/>
        <v/>
      </c>
      <c r="X774" s="11">
        <f t="shared" si="5"/>
        <v>1466.948</v>
      </c>
      <c r="Y774" s="14">
        <f t="shared" si="6"/>
        <v>0.932</v>
      </c>
      <c r="Z774" s="25"/>
      <c r="AA774" s="21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</row>
    <row r="775">
      <c r="A775" s="21"/>
      <c r="B775" s="21"/>
      <c r="C775" s="21"/>
      <c r="D775" s="21"/>
      <c r="E775" s="21"/>
      <c r="F775" s="21" t="s">
        <v>33</v>
      </c>
      <c r="G775" s="21">
        <v>7104.0</v>
      </c>
      <c r="H775" s="26">
        <v>39.602839</v>
      </c>
      <c r="I775" s="26">
        <v>-112.9156</v>
      </c>
      <c r="J775" s="21">
        <v>1445.42</v>
      </c>
      <c r="K775" s="11">
        <v>-589.957</v>
      </c>
      <c r="L775" s="11">
        <v>33972.183</v>
      </c>
      <c r="M775" s="11">
        <v>-15.349</v>
      </c>
      <c r="N775" s="11">
        <v>-589.957</v>
      </c>
      <c r="O775" s="11">
        <v>33972.166</v>
      </c>
      <c r="P775" s="11">
        <v>-18.519</v>
      </c>
      <c r="Q775" s="11">
        <v>1460.62</v>
      </c>
      <c r="R775" s="11">
        <v>-19.37</v>
      </c>
      <c r="S775" s="12">
        <v>0.89</v>
      </c>
      <c r="T775" s="14">
        <f t="shared" si="9"/>
        <v>1442.25</v>
      </c>
      <c r="U775" s="14">
        <f t="shared" si="2"/>
        <v>3.17</v>
      </c>
      <c r="V775" s="14">
        <f t="shared" si="3"/>
        <v>-1.738291841</v>
      </c>
      <c r="W775" s="15" t="str">
        <f t="shared" si="4"/>
        <v/>
      </c>
      <c r="X775" s="11">
        <f t="shared" si="5"/>
        <v>1440.868</v>
      </c>
      <c r="Y775" s="14">
        <f t="shared" si="6"/>
        <v>1.382</v>
      </c>
      <c r="Z775" s="25"/>
      <c r="AA775" s="21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</row>
    <row r="776">
      <c r="A776" s="21"/>
      <c r="B776" s="21"/>
      <c r="C776" s="21"/>
      <c r="D776" s="21"/>
      <c r="E776" s="21"/>
      <c r="F776" s="21" t="s">
        <v>33</v>
      </c>
      <c r="G776" s="21">
        <v>7105.0</v>
      </c>
      <c r="H776" s="26">
        <v>39.603208</v>
      </c>
      <c r="I776" s="26">
        <v>-112.891437</v>
      </c>
      <c r="J776" s="21">
        <v>1432.92</v>
      </c>
      <c r="K776" s="11">
        <v>1485.778</v>
      </c>
      <c r="L776" s="11">
        <v>34013.214</v>
      </c>
      <c r="M776" s="11">
        <v>-28.214</v>
      </c>
      <c r="N776" s="11">
        <v>1485.777</v>
      </c>
      <c r="O776" s="11">
        <v>34013.197</v>
      </c>
      <c r="P776" s="11">
        <v>-31.434</v>
      </c>
      <c r="Q776" s="11">
        <v>1448.07</v>
      </c>
      <c r="R776" s="11">
        <v>-19.37</v>
      </c>
      <c r="S776" s="12">
        <v>0.89</v>
      </c>
      <c r="T776" s="14">
        <f t="shared" si="9"/>
        <v>1429.7</v>
      </c>
      <c r="U776" s="14">
        <f t="shared" si="2"/>
        <v>3.22</v>
      </c>
      <c r="V776" s="14">
        <f t="shared" si="3"/>
        <v>-1.675401399</v>
      </c>
      <c r="W776" s="15" t="str">
        <f t="shared" si="4"/>
        <v/>
      </c>
      <c r="X776" s="11">
        <f t="shared" si="5"/>
        <v>1428.368</v>
      </c>
      <c r="Y776" s="14">
        <f t="shared" si="6"/>
        <v>1.332</v>
      </c>
      <c r="Z776" s="25"/>
      <c r="AA776" s="21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</row>
    <row r="777">
      <c r="A777" s="21"/>
      <c r="B777" s="21"/>
      <c r="C777" s="21"/>
      <c r="D777" s="21"/>
      <c r="E777" s="21"/>
      <c r="F777" s="21" t="s">
        <v>33</v>
      </c>
      <c r="G777" s="21">
        <v>7106.0</v>
      </c>
      <c r="H777" s="26">
        <v>39.603504</v>
      </c>
      <c r="I777" s="26">
        <v>-112.867217</v>
      </c>
      <c r="J777" s="21">
        <v>1426.37</v>
      </c>
      <c r="K777" s="11">
        <v>3566.386</v>
      </c>
      <c r="L777" s="11">
        <v>34046.726</v>
      </c>
      <c r="M777" s="11">
        <v>-35.766</v>
      </c>
      <c r="N777" s="11">
        <v>3566.384</v>
      </c>
      <c r="O777" s="11">
        <v>34046.706</v>
      </c>
      <c r="P777" s="11">
        <v>-39.596</v>
      </c>
      <c r="Q777" s="11">
        <v>1440.89</v>
      </c>
      <c r="R777" s="11">
        <v>-19.35</v>
      </c>
      <c r="S777" s="12">
        <v>0.89</v>
      </c>
      <c r="T777" s="14">
        <f t="shared" si="9"/>
        <v>1422.54</v>
      </c>
      <c r="U777" s="14">
        <f t="shared" si="2"/>
        <v>3.83</v>
      </c>
      <c r="V777" s="14">
        <f t="shared" si="3"/>
        <v>-0.9081379953</v>
      </c>
      <c r="W777" s="15" t="str">
        <f t="shared" si="4"/>
        <v/>
      </c>
      <c r="X777" s="11">
        <f t="shared" si="5"/>
        <v>1421.818</v>
      </c>
      <c r="Y777" s="14">
        <f t="shared" si="6"/>
        <v>0.722</v>
      </c>
      <c r="Z777" s="25"/>
      <c r="AA777" s="21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</row>
    <row r="778">
      <c r="A778" s="21"/>
      <c r="B778" s="21"/>
      <c r="C778" s="21"/>
      <c r="D778" s="21"/>
      <c r="E778" s="21"/>
      <c r="F778" s="21" t="s">
        <v>33</v>
      </c>
      <c r="G778" s="21">
        <v>7107.0</v>
      </c>
      <c r="H778" s="26">
        <v>39.603584</v>
      </c>
      <c r="I778" s="26">
        <v>-112.843881</v>
      </c>
      <c r="J778" s="21">
        <v>1442.36</v>
      </c>
      <c r="K778" s="11">
        <v>5571.069</v>
      </c>
      <c r="L778" s="11">
        <v>34056.874</v>
      </c>
      <c r="M778" s="11">
        <v>-21.263</v>
      </c>
      <c r="N778" s="11">
        <v>5571.064</v>
      </c>
      <c r="O778" s="11">
        <v>34056.845</v>
      </c>
      <c r="P778" s="11">
        <v>-26.763</v>
      </c>
      <c r="Q778" s="11">
        <v>1455.19</v>
      </c>
      <c r="R778" s="11">
        <v>-19.33</v>
      </c>
      <c r="S778" s="12">
        <v>0.89</v>
      </c>
      <c r="T778" s="14">
        <f t="shared" si="9"/>
        <v>1436.86</v>
      </c>
      <c r="U778" s="14">
        <f t="shared" si="2"/>
        <v>5.5</v>
      </c>
      <c r="V778" s="14">
        <f t="shared" si="3"/>
        <v>1.192402797</v>
      </c>
      <c r="W778" s="15" t="str">
        <f t="shared" si="4"/>
        <v/>
      </c>
      <c r="X778" s="11">
        <f t="shared" si="5"/>
        <v>1437.808</v>
      </c>
      <c r="Y778" s="14">
        <f t="shared" si="6"/>
        <v>-0.948</v>
      </c>
      <c r="Z778" s="25"/>
      <c r="AA778" s="21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</row>
    <row r="779">
      <c r="A779" s="21"/>
      <c r="B779" s="21"/>
      <c r="C779" s="21"/>
      <c r="D779" s="21"/>
      <c r="E779" s="21"/>
      <c r="F779" s="21" t="s">
        <v>33</v>
      </c>
      <c r="G779" s="21">
        <v>7108.0</v>
      </c>
      <c r="H779" s="26">
        <v>39.604312</v>
      </c>
      <c r="I779" s="26">
        <v>-112.81894</v>
      </c>
      <c r="J779" s="21">
        <v>1493.07</v>
      </c>
      <c r="K779" s="11">
        <v>7713.604</v>
      </c>
      <c r="L779" s="11">
        <v>34139.822</v>
      </c>
      <c r="M779" s="11">
        <v>26.775</v>
      </c>
      <c r="N779" s="11">
        <v>7713.597</v>
      </c>
      <c r="O779" s="11">
        <v>34139.792</v>
      </c>
      <c r="P779" s="11">
        <v>21.025</v>
      </c>
      <c r="Q779" s="11">
        <v>1505.6</v>
      </c>
      <c r="R779" s="11">
        <v>-19.28</v>
      </c>
      <c r="S779" s="12">
        <v>0.89</v>
      </c>
      <c r="T779" s="14">
        <f t="shared" si="9"/>
        <v>1487.32</v>
      </c>
      <c r="U779" s="14">
        <f t="shared" si="2"/>
        <v>5.75</v>
      </c>
      <c r="V779" s="14">
        <f t="shared" si="3"/>
        <v>1.506855012</v>
      </c>
      <c r="W779" s="15" t="str">
        <f t="shared" si="4"/>
        <v/>
      </c>
      <c r="X779" s="11">
        <f t="shared" si="5"/>
        <v>1488.518</v>
      </c>
      <c r="Y779" s="14">
        <f t="shared" si="6"/>
        <v>-1.198</v>
      </c>
      <c r="Z779" s="25"/>
      <c r="AA779" s="21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</row>
    <row r="780">
      <c r="A780" s="21"/>
      <c r="B780" s="21"/>
      <c r="C780" s="21"/>
      <c r="D780" s="21"/>
      <c r="E780" s="21"/>
      <c r="F780" s="21" t="s">
        <v>33</v>
      </c>
      <c r="G780" s="21">
        <v>7109.0</v>
      </c>
      <c r="H780" s="26">
        <v>39.604849</v>
      </c>
      <c r="I780" s="26">
        <v>-112.795269</v>
      </c>
      <c r="J780" s="21">
        <v>1547.33</v>
      </c>
      <c r="K780" s="11">
        <v>9747.06</v>
      </c>
      <c r="L780" s="11">
        <v>34202.033</v>
      </c>
      <c r="M780" s="11">
        <v>77.923</v>
      </c>
      <c r="N780" s="11">
        <v>9747.055</v>
      </c>
      <c r="O780" s="11">
        <v>34202.014</v>
      </c>
      <c r="P780" s="11">
        <v>74.413</v>
      </c>
      <c r="Q780" s="11">
        <v>1562.07</v>
      </c>
      <c r="R780" s="11">
        <v>-19.25</v>
      </c>
      <c r="S780" s="12">
        <v>0.89</v>
      </c>
      <c r="T780" s="14">
        <f t="shared" si="9"/>
        <v>1543.82</v>
      </c>
      <c r="U780" s="14">
        <f t="shared" si="2"/>
        <v>3.51</v>
      </c>
      <c r="V780" s="14">
        <f t="shared" si="3"/>
        <v>-1.31063683</v>
      </c>
      <c r="W780" s="15" t="str">
        <f t="shared" si="4"/>
        <v/>
      </c>
      <c r="X780" s="11">
        <f t="shared" si="5"/>
        <v>1542.778</v>
      </c>
      <c r="Y780" s="14">
        <f t="shared" si="6"/>
        <v>1.042</v>
      </c>
      <c r="Z780" s="25"/>
      <c r="AA780" s="21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</row>
    <row r="781">
      <c r="A781" s="21"/>
      <c r="B781" s="21"/>
      <c r="C781" s="21"/>
      <c r="D781" s="21"/>
      <c r="E781" s="21"/>
      <c r="F781" s="21" t="s">
        <v>33</v>
      </c>
      <c r="G781" s="21">
        <v>7110.0</v>
      </c>
      <c r="H781" s="26">
        <v>39.605148</v>
      </c>
      <c r="I781" s="26">
        <v>-112.770341</v>
      </c>
      <c r="J781" s="21">
        <v>1510.96</v>
      </c>
      <c r="K781" s="11">
        <v>11888.372</v>
      </c>
      <c r="L781" s="11">
        <v>34238.023</v>
      </c>
      <c r="M781" s="11">
        <v>37.733</v>
      </c>
      <c r="N781" s="11">
        <v>11888.369</v>
      </c>
      <c r="O781" s="11">
        <v>34238.012</v>
      </c>
      <c r="P781" s="11">
        <v>35.683</v>
      </c>
      <c r="Q781" s="11">
        <v>1527.13</v>
      </c>
      <c r="R781" s="11">
        <v>-19.22</v>
      </c>
      <c r="S781" s="12">
        <v>0.89</v>
      </c>
      <c r="T781" s="14">
        <f t="shared" si="9"/>
        <v>1508.91</v>
      </c>
      <c r="U781" s="14">
        <f t="shared" si="2"/>
        <v>2.05</v>
      </c>
      <c r="V781" s="14">
        <f t="shared" si="3"/>
        <v>-3.147037762</v>
      </c>
      <c r="W781" s="15" t="str">
        <f t="shared" si="4"/>
        <v>✔</v>
      </c>
      <c r="X781" s="11">
        <f t="shared" si="5"/>
        <v>1506.408</v>
      </c>
      <c r="Y781" s="14">
        <f t="shared" si="6"/>
        <v>2.502</v>
      </c>
      <c r="Z781" s="25"/>
      <c r="AA781" s="21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</row>
    <row r="782">
      <c r="A782" s="21"/>
      <c r="B782" s="21"/>
      <c r="C782" s="21"/>
      <c r="D782" s="21"/>
      <c r="E782" s="21"/>
      <c r="F782" s="21" t="s">
        <v>33</v>
      </c>
      <c r="G782" s="21">
        <v>7111.0</v>
      </c>
      <c r="H782" s="26">
        <v>39.605532</v>
      </c>
      <c r="I782" s="26">
        <v>-112.746099</v>
      </c>
      <c r="J782" s="21">
        <v>1443.88</v>
      </c>
      <c r="K782" s="11">
        <v>13970.626</v>
      </c>
      <c r="L782" s="11">
        <v>34283.77</v>
      </c>
      <c r="M782" s="11">
        <v>-33.809</v>
      </c>
      <c r="N782" s="11">
        <v>13970.615</v>
      </c>
      <c r="O782" s="11">
        <v>34283.742</v>
      </c>
      <c r="P782" s="11">
        <v>-38.949</v>
      </c>
      <c r="Q782" s="11">
        <v>1456.94</v>
      </c>
      <c r="R782" s="11">
        <v>-19.2</v>
      </c>
      <c r="S782" s="12">
        <v>0.89</v>
      </c>
      <c r="T782" s="14">
        <f t="shared" si="9"/>
        <v>1438.74</v>
      </c>
      <c r="U782" s="14">
        <f t="shared" si="2"/>
        <v>5.14</v>
      </c>
      <c r="V782" s="14">
        <f t="shared" si="3"/>
        <v>0.7395916084</v>
      </c>
      <c r="W782" s="15" t="str">
        <f t="shared" si="4"/>
        <v/>
      </c>
      <c r="X782" s="11">
        <f t="shared" si="5"/>
        <v>1439.328</v>
      </c>
      <c r="Y782" s="14">
        <f t="shared" si="6"/>
        <v>-0.588</v>
      </c>
      <c r="Z782" s="25"/>
      <c r="AA782" s="21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</row>
    <row r="783">
      <c r="A783" s="21"/>
      <c r="B783" s="21"/>
      <c r="C783" s="21"/>
      <c r="D783" s="21"/>
      <c r="E783" s="21"/>
      <c r="F783" s="21" t="s">
        <v>33</v>
      </c>
      <c r="G783" s="21">
        <v>7112.0</v>
      </c>
      <c r="H783" s="26">
        <v>39.602064</v>
      </c>
      <c r="I783" s="26">
        <v>-112.717236</v>
      </c>
      <c r="J783" s="21">
        <v>1381.07</v>
      </c>
      <c r="K783" s="11">
        <v>16450.68</v>
      </c>
      <c r="L783" s="11">
        <v>33903.165</v>
      </c>
      <c r="M783" s="11">
        <v>-100.486</v>
      </c>
      <c r="N783" s="11">
        <v>16450.67</v>
      </c>
      <c r="O783" s="11">
        <v>33903.145</v>
      </c>
      <c r="P783" s="11">
        <v>-104.206</v>
      </c>
      <c r="Q783" s="11">
        <v>1395.53</v>
      </c>
      <c r="R783" s="11">
        <v>-19.18</v>
      </c>
      <c r="S783" s="12">
        <v>0.89</v>
      </c>
      <c r="T783" s="14">
        <f t="shared" si="9"/>
        <v>1377.35</v>
      </c>
      <c r="U783" s="14">
        <f t="shared" si="2"/>
        <v>3.72</v>
      </c>
      <c r="V783" s="14">
        <f t="shared" si="3"/>
        <v>-1.04649697</v>
      </c>
      <c r="W783" s="15" t="str">
        <f t="shared" si="4"/>
        <v/>
      </c>
      <c r="X783" s="11">
        <f t="shared" si="5"/>
        <v>1376.518</v>
      </c>
      <c r="Y783" s="14">
        <f t="shared" si="6"/>
        <v>0.832</v>
      </c>
      <c r="Z783" s="25"/>
      <c r="AA783" s="21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</row>
    <row r="784">
      <c r="A784" s="21"/>
      <c r="B784" s="21"/>
      <c r="C784" s="21"/>
      <c r="D784" s="21"/>
      <c r="E784" s="21"/>
      <c r="F784" s="21" t="s">
        <v>33</v>
      </c>
      <c r="G784" s="21">
        <v>7113.0</v>
      </c>
      <c r="H784" s="26">
        <v>39.607781</v>
      </c>
      <c r="I784" s="26">
        <v>-112.697806</v>
      </c>
      <c r="J784" s="21">
        <v>1383.3</v>
      </c>
      <c r="K784" s="11">
        <v>18118.341</v>
      </c>
      <c r="L784" s="11">
        <v>34541.758</v>
      </c>
      <c r="M784" s="11">
        <v>-106.203</v>
      </c>
      <c r="N784" s="11">
        <v>18118.329</v>
      </c>
      <c r="O784" s="11">
        <v>34541.737</v>
      </c>
      <c r="P784" s="11">
        <v>-110.213</v>
      </c>
      <c r="Q784" s="11">
        <v>1397.43</v>
      </c>
      <c r="R784" s="11">
        <v>-19.14</v>
      </c>
      <c r="S784" s="12">
        <v>0.89</v>
      </c>
      <c r="T784" s="14">
        <f t="shared" si="9"/>
        <v>1379.29</v>
      </c>
      <c r="U784" s="14">
        <f t="shared" si="2"/>
        <v>4.01</v>
      </c>
      <c r="V784" s="14">
        <f t="shared" si="3"/>
        <v>-0.6817324009</v>
      </c>
      <c r="W784" s="15" t="str">
        <f t="shared" si="4"/>
        <v/>
      </c>
      <c r="X784" s="11">
        <f t="shared" si="5"/>
        <v>1378.748</v>
      </c>
      <c r="Y784" s="14">
        <f t="shared" si="6"/>
        <v>0.542</v>
      </c>
      <c r="Z784" s="25"/>
      <c r="AA784" s="21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</row>
    <row r="785">
      <c r="A785" s="21"/>
      <c r="B785" s="21"/>
      <c r="C785" s="21"/>
      <c r="D785" s="21"/>
      <c r="E785" s="21"/>
      <c r="F785" s="21" t="s">
        <v>33</v>
      </c>
      <c r="G785" s="21">
        <v>7114.0</v>
      </c>
      <c r="H785" s="26">
        <v>39.606546</v>
      </c>
      <c r="I785" s="26">
        <v>-112.673524</v>
      </c>
      <c r="J785" s="21">
        <v>1383.39</v>
      </c>
      <c r="K785" s="11">
        <v>20204.484</v>
      </c>
      <c r="L785" s="11">
        <v>34409.756</v>
      </c>
      <c r="M785" s="11">
        <v>-111.655</v>
      </c>
      <c r="N785" s="11">
        <v>20204.47</v>
      </c>
      <c r="O785" s="11">
        <v>34409.732</v>
      </c>
      <c r="P785" s="11">
        <v>-116.085</v>
      </c>
      <c r="Q785" s="11">
        <v>1397.08</v>
      </c>
      <c r="R785" s="11">
        <v>-19.12</v>
      </c>
      <c r="S785" s="12">
        <v>0.89</v>
      </c>
      <c r="T785" s="14">
        <f t="shared" si="9"/>
        <v>1378.96</v>
      </c>
      <c r="U785" s="14">
        <f t="shared" si="2"/>
        <v>4.43</v>
      </c>
      <c r="V785" s="14">
        <f t="shared" si="3"/>
        <v>-0.1534526807</v>
      </c>
      <c r="W785" s="15" t="str">
        <f t="shared" si="4"/>
        <v/>
      </c>
      <c r="X785" s="11">
        <f t="shared" si="5"/>
        <v>1378.838</v>
      </c>
      <c r="Y785" s="14">
        <f t="shared" si="6"/>
        <v>0.122</v>
      </c>
      <c r="Z785" s="25"/>
      <c r="AA785" s="21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</row>
    <row r="786">
      <c r="A786" s="21"/>
      <c r="B786" s="21"/>
      <c r="C786" s="21"/>
      <c r="D786" s="21"/>
      <c r="E786" s="21"/>
      <c r="F786" s="21" t="s">
        <v>33</v>
      </c>
      <c r="G786" s="21">
        <v>7203.0</v>
      </c>
      <c r="H786" s="26">
        <v>39.621151</v>
      </c>
      <c r="I786" s="26">
        <v>-112.940347</v>
      </c>
      <c r="J786" s="21">
        <v>1469.31</v>
      </c>
      <c r="K786" s="11">
        <v>-2715.167</v>
      </c>
      <c r="L786" s="11">
        <v>36006.332</v>
      </c>
      <c r="M786" s="11">
        <v>-3.194</v>
      </c>
      <c r="N786" s="11">
        <v>-2715.165</v>
      </c>
      <c r="O786" s="11">
        <v>36006.309</v>
      </c>
      <c r="P786" s="11">
        <v>-7.254</v>
      </c>
      <c r="Q786" s="11">
        <v>1483.6</v>
      </c>
      <c r="R786" s="11">
        <v>-19.35</v>
      </c>
      <c r="S786" s="12">
        <v>0.89</v>
      </c>
      <c r="T786" s="14">
        <f t="shared" si="9"/>
        <v>1465.25</v>
      </c>
      <c r="U786" s="14">
        <f t="shared" si="2"/>
        <v>4.06</v>
      </c>
      <c r="V786" s="14">
        <f t="shared" si="3"/>
        <v>-0.618841958</v>
      </c>
      <c r="W786" s="15" t="str">
        <f t="shared" si="4"/>
        <v/>
      </c>
      <c r="X786" s="11">
        <f t="shared" si="5"/>
        <v>1464.758</v>
      </c>
      <c r="Y786" s="14">
        <f t="shared" si="6"/>
        <v>0.492</v>
      </c>
      <c r="Z786" s="25"/>
      <c r="AA786" s="21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</row>
    <row r="787">
      <c r="A787" s="21"/>
      <c r="B787" s="21"/>
      <c r="C787" s="21"/>
      <c r="D787" s="21"/>
      <c r="E787" s="21"/>
      <c r="F787" s="21" t="s">
        <v>33</v>
      </c>
      <c r="G787" s="21">
        <v>7204.0</v>
      </c>
      <c r="H787" s="26">
        <v>39.621589</v>
      </c>
      <c r="I787" s="26">
        <v>-112.916181</v>
      </c>
      <c r="J787" s="21">
        <v>1451.71</v>
      </c>
      <c r="K787" s="11">
        <v>-639.697</v>
      </c>
      <c r="L787" s="11">
        <v>36054.424</v>
      </c>
      <c r="M787" s="11">
        <v>-20.522</v>
      </c>
      <c r="N787" s="11">
        <v>-639.696</v>
      </c>
      <c r="O787" s="11">
        <v>36054.397</v>
      </c>
      <c r="P787" s="11">
        <v>-25.262</v>
      </c>
      <c r="Q787" s="11">
        <v>1465.32</v>
      </c>
      <c r="R787" s="11">
        <v>-19.35</v>
      </c>
      <c r="S787" s="12">
        <v>0.89</v>
      </c>
      <c r="T787" s="14">
        <f t="shared" si="9"/>
        <v>1446.97</v>
      </c>
      <c r="U787" s="14">
        <f t="shared" si="2"/>
        <v>4.74</v>
      </c>
      <c r="V787" s="14">
        <f t="shared" si="3"/>
        <v>0.2364680653</v>
      </c>
      <c r="W787" s="15" t="str">
        <f t="shared" si="4"/>
        <v/>
      </c>
      <c r="X787" s="11">
        <f t="shared" si="5"/>
        <v>1447.158</v>
      </c>
      <c r="Y787" s="14">
        <f t="shared" si="6"/>
        <v>-0.188</v>
      </c>
      <c r="Z787" s="25"/>
      <c r="AA787" s="21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</row>
    <row r="788">
      <c r="A788" s="21"/>
      <c r="B788" s="21"/>
      <c r="C788" s="21"/>
      <c r="D788" s="21"/>
      <c r="E788" s="21"/>
      <c r="F788" s="21" t="s">
        <v>33</v>
      </c>
      <c r="G788" s="21">
        <v>7205.0</v>
      </c>
      <c r="H788" s="26">
        <v>39.622583</v>
      </c>
      <c r="I788" s="26">
        <v>-112.892163</v>
      </c>
      <c r="J788" s="21">
        <v>1442.51</v>
      </c>
      <c r="K788" s="11">
        <v>1423.016</v>
      </c>
      <c r="L788" s="11">
        <v>36164.861</v>
      </c>
      <c r="M788" s="11">
        <v>-30.475</v>
      </c>
      <c r="N788" s="11">
        <v>1423.015</v>
      </c>
      <c r="O788" s="11">
        <v>36164.838</v>
      </c>
      <c r="P788" s="11">
        <v>-34.415</v>
      </c>
      <c r="Q788" s="11">
        <v>1456.91</v>
      </c>
      <c r="R788" s="11">
        <v>-19.34</v>
      </c>
      <c r="S788" s="12">
        <v>0.89</v>
      </c>
      <c r="T788" s="14">
        <f t="shared" si="9"/>
        <v>1438.57</v>
      </c>
      <c r="U788" s="14">
        <f t="shared" si="2"/>
        <v>3.94</v>
      </c>
      <c r="V788" s="14">
        <f t="shared" si="3"/>
        <v>-0.769779021</v>
      </c>
      <c r="W788" s="15" t="str">
        <f t="shared" si="4"/>
        <v/>
      </c>
      <c r="X788" s="11">
        <f t="shared" si="5"/>
        <v>1437.958</v>
      </c>
      <c r="Y788" s="14">
        <f t="shared" si="6"/>
        <v>0.612</v>
      </c>
      <c r="Z788" s="25"/>
      <c r="AA788" s="21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</row>
    <row r="789">
      <c r="A789" s="21"/>
      <c r="B789" s="21"/>
      <c r="C789" s="21"/>
      <c r="D789" s="21"/>
      <c r="E789" s="21"/>
      <c r="F789" s="21" t="s">
        <v>33</v>
      </c>
      <c r="G789" s="21">
        <v>7206.0</v>
      </c>
      <c r="H789" s="26">
        <v>39.622351</v>
      </c>
      <c r="I789" s="26">
        <v>-112.867742</v>
      </c>
      <c r="J789" s="21">
        <v>1435.46</v>
      </c>
      <c r="K789" s="11">
        <v>3520.336</v>
      </c>
      <c r="L789" s="11">
        <v>36139.724</v>
      </c>
      <c r="M789" s="11">
        <v>-38.194</v>
      </c>
      <c r="N789" s="11">
        <v>3520.334</v>
      </c>
      <c r="O789" s="11">
        <v>36139.706</v>
      </c>
      <c r="P789" s="11">
        <v>-41.394</v>
      </c>
      <c r="Q789" s="11">
        <v>1450.59</v>
      </c>
      <c r="R789" s="11">
        <v>-19.33</v>
      </c>
      <c r="S789" s="12">
        <v>0.89</v>
      </c>
      <c r="T789" s="14">
        <f t="shared" si="9"/>
        <v>1432.26</v>
      </c>
      <c r="U789" s="14">
        <f t="shared" si="2"/>
        <v>3.2</v>
      </c>
      <c r="V789" s="14">
        <f t="shared" si="3"/>
        <v>-1.700557576</v>
      </c>
      <c r="W789" s="15" t="str">
        <f t="shared" si="4"/>
        <v/>
      </c>
      <c r="X789" s="11">
        <f t="shared" si="5"/>
        <v>1430.908</v>
      </c>
      <c r="Y789" s="14">
        <f t="shared" si="6"/>
        <v>1.352</v>
      </c>
      <c r="Z789" s="25"/>
      <c r="AA789" s="21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</row>
    <row r="790">
      <c r="A790" s="21"/>
      <c r="B790" s="21"/>
      <c r="C790" s="21"/>
      <c r="D790" s="21"/>
      <c r="E790" s="21"/>
      <c r="F790" s="21" t="s">
        <v>33</v>
      </c>
      <c r="G790" s="21">
        <v>7207.0</v>
      </c>
      <c r="H790" s="26">
        <v>39.623631</v>
      </c>
      <c r="I790" s="26">
        <v>-112.843304</v>
      </c>
      <c r="J790" s="21">
        <v>1463.05</v>
      </c>
      <c r="K790" s="11">
        <v>5619.033</v>
      </c>
      <c r="L790" s="11">
        <v>36283.261</v>
      </c>
      <c r="M790" s="11">
        <v>-12.922</v>
      </c>
      <c r="N790" s="11">
        <v>5619.029</v>
      </c>
      <c r="O790" s="11">
        <v>36283.233</v>
      </c>
      <c r="P790" s="11">
        <v>-17.732</v>
      </c>
      <c r="Q790" s="11">
        <v>1476.54</v>
      </c>
      <c r="R790" s="11">
        <v>-19.3</v>
      </c>
      <c r="S790" s="12">
        <v>0.89</v>
      </c>
      <c r="T790" s="14">
        <f t="shared" si="9"/>
        <v>1458.24</v>
      </c>
      <c r="U790" s="14">
        <f t="shared" si="2"/>
        <v>4.81</v>
      </c>
      <c r="V790" s="14">
        <f t="shared" si="3"/>
        <v>0.3245146853</v>
      </c>
      <c r="W790" s="15" t="str">
        <f t="shared" si="4"/>
        <v/>
      </c>
      <c r="X790" s="11">
        <f t="shared" si="5"/>
        <v>1458.498</v>
      </c>
      <c r="Y790" s="14">
        <f t="shared" si="6"/>
        <v>-0.258</v>
      </c>
      <c r="Z790" s="25"/>
      <c r="AA790" s="21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</row>
    <row r="791">
      <c r="A791" s="21"/>
      <c r="B791" s="21"/>
      <c r="C791" s="21"/>
      <c r="D791" s="21"/>
      <c r="E791" s="21"/>
      <c r="F791" s="21" t="s">
        <v>33</v>
      </c>
      <c r="G791" s="21">
        <v>7208.0</v>
      </c>
      <c r="H791" s="26">
        <v>39.623565</v>
      </c>
      <c r="I791" s="26">
        <v>-112.819571</v>
      </c>
      <c r="J791" s="21">
        <v>1503.83</v>
      </c>
      <c r="K791" s="11">
        <v>7657.289</v>
      </c>
      <c r="L791" s="11">
        <v>36277.905</v>
      </c>
      <c r="M791" s="11">
        <v>25.771</v>
      </c>
      <c r="N791" s="11">
        <v>7657.286</v>
      </c>
      <c r="O791" s="11">
        <v>36277.889</v>
      </c>
      <c r="P791" s="11">
        <v>22.991</v>
      </c>
      <c r="Q791" s="11">
        <v>1519.31</v>
      </c>
      <c r="R791" s="11">
        <v>-19.26</v>
      </c>
      <c r="S791" s="12">
        <v>0.89</v>
      </c>
      <c r="T791" s="14">
        <f t="shared" si="9"/>
        <v>1501.05</v>
      </c>
      <c r="U791" s="14">
        <f t="shared" si="2"/>
        <v>2.78</v>
      </c>
      <c r="V791" s="14">
        <f t="shared" si="3"/>
        <v>-2.228837296</v>
      </c>
      <c r="W791" s="15" t="str">
        <f t="shared" si="4"/>
        <v/>
      </c>
      <c r="X791" s="11">
        <f t="shared" si="5"/>
        <v>1499.278</v>
      </c>
      <c r="Y791" s="14">
        <f t="shared" si="6"/>
        <v>1.772</v>
      </c>
      <c r="Z791" s="25"/>
      <c r="AA791" s="21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</row>
    <row r="792">
      <c r="A792" s="21"/>
      <c r="B792" s="21"/>
      <c r="C792" s="21"/>
      <c r="D792" s="21"/>
      <c r="E792" s="21"/>
      <c r="F792" s="21" t="s">
        <v>33</v>
      </c>
      <c r="G792" s="21">
        <v>7209.0</v>
      </c>
      <c r="H792" s="26">
        <v>39.623356</v>
      </c>
      <c r="I792" s="26">
        <v>-112.794508</v>
      </c>
      <c r="J792" s="21">
        <v>1513.56</v>
      </c>
      <c r="K792" s="11">
        <v>9809.769</v>
      </c>
      <c r="L792" s="11">
        <v>36257.17</v>
      </c>
      <c r="M792" s="11">
        <v>32.677</v>
      </c>
      <c r="N792" s="11">
        <v>9809.765</v>
      </c>
      <c r="O792" s="11">
        <v>36257.155</v>
      </c>
      <c r="P792" s="11">
        <v>29.947</v>
      </c>
      <c r="Q792" s="11">
        <v>1529.05</v>
      </c>
      <c r="R792" s="11">
        <v>-19.22</v>
      </c>
      <c r="S792" s="12">
        <v>0.89</v>
      </c>
      <c r="T792" s="14">
        <f t="shared" si="9"/>
        <v>1510.83</v>
      </c>
      <c r="U792" s="14">
        <f t="shared" si="2"/>
        <v>2.73</v>
      </c>
      <c r="V792" s="14">
        <f t="shared" si="3"/>
        <v>-2.291727739</v>
      </c>
      <c r="W792" s="15" t="str">
        <f t="shared" si="4"/>
        <v/>
      </c>
      <c r="X792" s="11">
        <f t="shared" si="5"/>
        <v>1509.008</v>
      </c>
      <c r="Y792" s="14">
        <f t="shared" si="6"/>
        <v>1.822</v>
      </c>
      <c r="Z792" s="25"/>
      <c r="AA792" s="21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</row>
    <row r="793">
      <c r="A793" s="21"/>
      <c r="B793" s="21"/>
      <c r="C793" s="21"/>
      <c r="D793" s="21"/>
      <c r="E793" s="21"/>
      <c r="F793" s="21" t="s">
        <v>33</v>
      </c>
      <c r="G793" s="21">
        <v>7210.0</v>
      </c>
      <c r="H793" s="26">
        <v>39.624211</v>
      </c>
      <c r="I793" s="26">
        <v>-112.771114</v>
      </c>
      <c r="J793" s="21">
        <v>1500.45</v>
      </c>
      <c r="K793" s="11">
        <v>11818.707</v>
      </c>
      <c r="L793" s="11">
        <v>36354.841</v>
      </c>
      <c r="M793" s="11">
        <v>15.609</v>
      </c>
      <c r="N793" s="11">
        <v>11818.701</v>
      </c>
      <c r="O793" s="11">
        <v>36354.824</v>
      </c>
      <c r="P793" s="11">
        <v>12.549</v>
      </c>
      <c r="Q793" s="11">
        <v>1515.57</v>
      </c>
      <c r="R793" s="11">
        <v>-19.18</v>
      </c>
      <c r="S793" s="12">
        <v>0.89</v>
      </c>
      <c r="T793" s="14">
        <f t="shared" si="9"/>
        <v>1497.39</v>
      </c>
      <c r="U793" s="14">
        <f t="shared" si="2"/>
        <v>3.06</v>
      </c>
      <c r="V793" s="14">
        <f t="shared" si="3"/>
        <v>-1.876650816</v>
      </c>
      <c r="W793" s="15" t="str">
        <f t="shared" si="4"/>
        <v/>
      </c>
      <c r="X793" s="11">
        <f t="shared" si="5"/>
        <v>1495.898</v>
      </c>
      <c r="Y793" s="14">
        <f t="shared" si="6"/>
        <v>1.492</v>
      </c>
      <c r="Z793" s="25"/>
      <c r="AA793" s="21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</row>
    <row r="794">
      <c r="A794" s="21"/>
      <c r="B794" s="21"/>
      <c r="C794" s="21"/>
      <c r="D794" s="21"/>
      <c r="E794" s="21"/>
      <c r="F794" s="21" t="s">
        <v>33</v>
      </c>
      <c r="G794" s="21">
        <v>7211.0</v>
      </c>
      <c r="H794" s="26">
        <v>39.624251</v>
      </c>
      <c r="I794" s="26">
        <v>-112.746602</v>
      </c>
      <c r="J794" s="21">
        <v>1451.93</v>
      </c>
      <c r="K794" s="11">
        <v>13923.684</v>
      </c>
      <c r="L794" s="11">
        <v>36362.494</v>
      </c>
      <c r="M794" s="11">
        <v>-37.197</v>
      </c>
      <c r="N794" s="11">
        <v>13923.674</v>
      </c>
      <c r="O794" s="11">
        <v>36362.467</v>
      </c>
      <c r="P794" s="11">
        <v>-41.767</v>
      </c>
      <c r="Q794" s="11">
        <v>1465.52</v>
      </c>
      <c r="R794" s="11">
        <v>-19.16</v>
      </c>
      <c r="S794" s="12">
        <v>0.89</v>
      </c>
      <c r="T794" s="14">
        <f t="shared" si="9"/>
        <v>1447.36</v>
      </c>
      <c r="U794" s="14">
        <f t="shared" si="2"/>
        <v>4.57</v>
      </c>
      <c r="V794" s="14">
        <f t="shared" si="3"/>
        <v>0.02264055944</v>
      </c>
      <c r="W794" s="15" t="str">
        <f t="shared" si="4"/>
        <v/>
      </c>
      <c r="X794" s="11">
        <f t="shared" si="5"/>
        <v>1447.378</v>
      </c>
      <c r="Y794" s="14">
        <f t="shared" si="6"/>
        <v>-0.018</v>
      </c>
      <c r="Z794" s="25"/>
      <c r="AA794" s="21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</row>
    <row r="795">
      <c r="A795" s="21"/>
      <c r="B795" s="21"/>
      <c r="C795" s="21"/>
      <c r="D795" s="21"/>
      <c r="E795" s="21"/>
      <c r="F795" s="21" t="s">
        <v>33</v>
      </c>
      <c r="G795" s="21">
        <v>7212.0</v>
      </c>
      <c r="H795" s="26">
        <v>39.644098</v>
      </c>
      <c r="I795" s="26">
        <v>-112.722735</v>
      </c>
      <c r="J795" s="21">
        <v>1384.51</v>
      </c>
      <c r="K795" s="11">
        <v>15968.63</v>
      </c>
      <c r="L795" s="11">
        <v>38570.054</v>
      </c>
      <c r="M795" s="11">
        <v>-122.402</v>
      </c>
      <c r="N795" s="11">
        <v>15968.616</v>
      </c>
      <c r="O795" s="11">
        <v>38570.02</v>
      </c>
      <c r="P795" s="11">
        <v>-127.932</v>
      </c>
      <c r="Q795" s="11">
        <v>1397.08</v>
      </c>
      <c r="R795" s="11">
        <v>-19.1</v>
      </c>
      <c r="S795" s="12">
        <v>0.89</v>
      </c>
      <c r="T795" s="14">
        <f t="shared" si="9"/>
        <v>1378.98</v>
      </c>
      <c r="U795" s="14">
        <f t="shared" si="2"/>
        <v>5.53</v>
      </c>
      <c r="V795" s="14">
        <f t="shared" si="3"/>
        <v>1.230137063</v>
      </c>
      <c r="W795" s="15" t="str">
        <f t="shared" si="4"/>
        <v/>
      </c>
      <c r="X795" s="11">
        <f t="shared" si="5"/>
        <v>1379.958</v>
      </c>
      <c r="Y795" s="14">
        <f t="shared" si="6"/>
        <v>-0.978</v>
      </c>
      <c r="Z795" s="25"/>
      <c r="AA795" s="21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</row>
    <row r="796">
      <c r="A796" s="21"/>
      <c r="B796" s="21"/>
      <c r="C796" s="21"/>
      <c r="D796" s="21"/>
      <c r="E796" s="21"/>
      <c r="F796" s="21" t="s">
        <v>33</v>
      </c>
      <c r="G796" s="21">
        <v>7213.0</v>
      </c>
      <c r="H796" s="26">
        <v>39.624825</v>
      </c>
      <c r="I796" s="26">
        <v>-112.698222</v>
      </c>
      <c r="J796" s="21">
        <v>1383.12</v>
      </c>
      <c r="K796" s="11">
        <v>18078.172</v>
      </c>
      <c r="L796" s="11">
        <v>36434.4</v>
      </c>
      <c r="M796" s="11">
        <v>-116.826</v>
      </c>
      <c r="N796" s="11">
        <v>18078.162</v>
      </c>
      <c r="O796" s="11">
        <v>36434.379</v>
      </c>
      <c r="P796" s="11">
        <v>-120.426</v>
      </c>
      <c r="Q796" s="11">
        <v>1397.63</v>
      </c>
      <c r="R796" s="11">
        <v>-19.11</v>
      </c>
      <c r="S796" s="12">
        <v>0.89</v>
      </c>
      <c r="T796" s="14">
        <f t="shared" si="9"/>
        <v>1379.52</v>
      </c>
      <c r="U796" s="14">
        <f t="shared" si="2"/>
        <v>3.6</v>
      </c>
      <c r="V796" s="14">
        <f t="shared" si="3"/>
        <v>-1.197434033</v>
      </c>
      <c r="W796" s="15" t="str">
        <f t="shared" si="4"/>
        <v/>
      </c>
      <c r="X796" s="11">
        <f t="shared" si="5"/>
        <v>1378.568</v>
      </c>
      <c r="Y796" s="14">
        <f t="shared" si="6"/>
        <v>0.952</v>
      </c>
      <c r="Z796" s="25"/>
      <c r="AA796" s="21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</row>
    <row r="797">
      <c r="A797" s="21"/>
      <c r="B797" s="21"/>
      <c r="C797" s="21"/>
      <c r="D797" s="21"/>
      <c r="E797" s="21"/>
      <c r="F797" s="21" t="s">
        <v>33</v>
      </c>
      <c r="G797" s="21">
        <v>7214.0</v>
      </c>
      <c r="H797" s="26">
        <v>39.625264</v>
      </c>
      <c r="I797" s="26">
        <v>-112.673946</v>
      </c>
      <c r="J797" s="21">
        <v>1384.2</v>
      </c>
      <c r="K797" s="11">
        <v>20162.806</v>
      </c>
      <c r="L797" s="11">
        <v>36488.288</v>
      </c>
      <c r="M797" s="11">
        <v>-122.294</v>
      </c>
      <c r="N797" s="11">
        <v>20162.794</v>
      </c>
      <c r="O797" s="11">
        <v>36488.266</v>
      </c>
      <c r="P797" s="11">
        <v>-126.074</v>
      </c>
      <c r="Q797" s="11">
        <v>1398.49</v>
      </c>
      <c r="R797" s="11">
        <v>-19.07</v>
      </c>
      <c r="S797" s="12">
        <v>0.89</v>
      </c>
      <c r="T797" s="14">
        <f t="shared" si="9"/>
        <v>1380.42</v>
      </c>
      <c r="U797" s="14">
        <f t="shared" si="2"/>
        <v>3.78</v>
      </c>
      <c r="V797" s="14">
        <f t="shared" si="3"/>
        <v>-0.9710284382</v>
      </c>
      <c r="W797" s="15" t="str">
        <f t="shared" si="4"/>
        <v/>
      </c>
      <c r="X797" s="11">
        <f t="shared" si="5"/>
        <v>1379.648</v>
      </c>
      <c r="Y797" s="14">
        <f t="shared" si="6"/>
        <v>0.772</v>
      </c>
      <c r="Z797" s="25"/>
      <c r="AA797" s="21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</row>
    <row r="798">
      <c r="A798" s="21"/>
      <c r="B798" s="21"/>
      <c r="C798" s="21"/>
      <c r="D798" s="21"/>
      <c r="E798" s="21"/>
      <c r="F798" s="21" t="s">
        <v>33</v>
      </c>
      <c r="G798" s="21">
        <v>7304.0</v>
      </c>
      <c r="H798" s="26">
        <v>39.640139</v>
      </c>
      <c r="I798" s="26">
        <v>-112.916456</v>
      </c>
      <c r="J798" s="21">
        <v>1463.58</v>
      </c>
      <c r="K798" s="11">
        <v>-663.139</v>
      </c>
      <c r="L798" s="11">
        <v>38114.493</v>
      </c>
      <c r="M798" s="11">
        <v>-20.661</v>
      </c>
      <c r="N798" s="11">
        <v>-663.138</v>
      </c>
      <c r="O798" s="11">
        <v>38114.476</v>
      </c>
      <c r="P798" s="11">
        <v>-23.561</v>
      </c>
      <c r="Q798" s="11">
        <v>1479.0</v>
      </c>
      <c r="R798" s="11">
        <v>-19.32</v>
      </c>
      <c r="S798" s="12">
        <v>0.89</v>
      </c>
      <c r="T798" s="14">
        <f t="shared" si="9"/>
        <v>1460.68</v>
      </c>
      <c r="U798" s="14">
        <f t="shared" si="2"/>
        <v>2.9</v>
      </c>
      <c r="V798" s="14">
        <f t="shared" si="3"/>
        <v>-2.077900233</v>
      </c>
      <c r="W798" s="15" t="str">
        <f t="shared" si="4"/>
        <v/>
      </c>
      <c r="X798" s="11">
        <f t="shared" si="5"/>
        <v>1459.028</v>
      </c>
      <c r="Y798" s="14">
        <f t="shared" si="6"/>
        <v>1.652</v>
      </c>
      <c r="Z798" s="25"/>
      <c r="AA798" s="21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</row>
    <row r="799">
      <c r="A799" s="21"/>
      <c r="B799" s="21"/>
      <c r="C799" s="21"/>
      <c r="D799" s="21"/>
      <c r="E799" s="21"/>
      <c r="F799" s="21" t="s">
        <v>33</v>
      </c>
      <c r="G799" s="21">
        <v>7305.0</v>
      </c>
      <c r="H799" s="26">
        <v>39.640671</v>
      </c>
      <c r="I799" s="26">
        <v>-112.892928</v>
      </c>
      <c r="J799" s="21">
        <v>1452.87</v>
      </c>
      <c r="K799" s="11">
        <v>1356.965</v>
      </c>
      <c r="L799" s="11">
        <v>38173.599</v>
      </c>
      <c r="M799" s="11">
        <v>-31.836</v>
      </c>
      <c r="N799" s="11">
        <v>1356.965</v>
      </c>
      <c r="O799" s="11">
        <v>38173.581</v>
      </c>
      <c r="P799" s="11">
        <v>-34.765</v>
      </c>
      <c r="Q799" s="11">
        <v>1468.25</v>
      </c>
      <c r="R799" s="11">
        <v>-19.31</v>
      </c>
      <c r="S799" s="12">
        <v>0.89</v>
      </c>
      <c r="T799" s="14">
        <f t="shared" si="9"/>
        <v>1449.94</v>
      </c>
      <c r="U799" s="14">
        <f t="shared" si="2"/>
        <v>2.93</v>
      </c>
      <c r="V799" s="14">
        <f t="shared" si="3"/>
        <v>-2.040165967</v>
      </c>
      <c r="W799" s="15" t="str">
        <f t="shared" si="4"/>
        <v/>
      </c>
      <c r="X799" s="11">
        <f t="shared" si="5"/>
        <v>1448.318</v>
      </c>
      <c r="Y799" s="14">
        <f t="shared" si="6"/>
        <v>1.622</v>
      </c>
      <c r="Z799" s="25"/>
      <c r="AA799" s="21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</row>
    <row r="800">
      <c r="A800" s="21"/>
      <c r="B800" s="21"/>
      <c r="C800" s="21"/>
      <c r="D800" s="21"/>
      <c r="E800" s="21"/>
      <c r="F800" s="21" t="s">
        <v>33</v>
      </c>
      <c r="G800" s="21">
        <v>7306.0</v>
      </c>
      <c r="H800" s="26">
        <v>39.640949</v>
      </c>
      <c r="I800" s="26">
        <v>-112.868134</v>
      </c>
      <c r="J800" s="21">
        <v>1452.37</v>
      </c>
      <c r="K800" s="11">
        <v>3485.746</v>
      </c>
      <c r="L800" s="11">
        <v>38205.131</v>
      </c>
      <c r="M800" s="11">
        <v>-33.332</v>
      </c>
      <c r="N800" s="11">
        <v>3485.743</v>
      </c>
      <c r="O800" s="11">
        <v>38205.1</v>
      </c>
      <c r="P800" s="11">
        <v>-38.632</v>
      </c>
      <c r="Q800" s="11">
        <v>1465.37</v>
      </c>
      <c r="R800" s="11">
        <v>-19.3</v>
      </c>
      <c r="S800" s="12">
        <v>0.89</v>
      </c>
      <c r="T800" s="14">
        <f t="shared" si="9"/>
        <v>1447.07</v>
      </c>
      <c r="U800" s="14">
        <f t="shared" si="2"/>
        <v>5.3</v>
      </c>
      <c r="V800" s="14">
        <f t="shared" si="3"/>
        <v>0.9408410256</v>
      </c>
      <c r="W800" s="15" t="str">
        <f t="shared" si="4"/>
        <v/>
      </c>
      <c r="X800" s="11">
        <f t="shared" si="5"/>
        <v>1447.818</v>
      </c>
      <c r="Y800" s="14">
        <f t="shared" si="6"/>
        <v>-0.748</v>
      </c>
      <c r="Z800" s="25"/>
      <c r="AA800" s="21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</row>
    <row r="801">
      <c r="A801" s="21"/>
      <c r="B801" s="21"/>
      <c r="C801" s="21"/>
      <c r="D801" s="21"/>
      <c r="E801" s="21"/>
      <c r="F801" s="21" t="s">
        <v>33</v>
      </c>
      <c r="G801" s="21">
        <v>7307.0</v>
      </c>
      <c r="H801" s="26">
        <v>39.641509</v>
      </c>
      <c r="I801" s="26">
        <v>-112.843914</v>
      </c>
      <c r="J801" s="21">
        <v>1449.45</v>
      </c>
      <c r="K801" s="11">
        <v>5565.202</v>
      </c>
      <c r="L801" s="11">
        <v>38268.514</v>
      </c>
      <c r="M801" s="11">
        <v>-38.106</v>
      </c>
      <c r="N801" s="11">
        <v>5565.198</v>
      </c>
      <c r="O801" s="11">
        <v>38268.489</v>
      </c>
      <c r="P801" s="11">
        <v>-42.246</v>
      </c>
      <c r="Q801" s="11">
        <v>1463.59</v>
      </c>
      <c r="R801" s="11">
        <v>-19.28</v>
      </c>
      <c r="S801" s="12">
        <v>0.89</v>
      </c>
      <c r="T801" s="14">
        <f t="shared" si="9"/>
        <v>1445.31</v>
      </c>
      <c r="U801" s="14">
        <f t="shared" si="2"/>
        <v>4.14</v>
      </c>
      <c r="V801" s="14">
        <f t="shared" si="3"/>
        <v>-0.5182172494</v>
      </c>
      <c r="W801" s="15" t="str">
        <f t="shared" si="4"/>
        <v/>
      </c>
      <c r="X801" s="11">
        <f t="shared" si="5"/>
        <v>1444.898</v>
      </c>
      <c r="Y801" s="14">
        <f t="shared" si="6"/>
        <v>0.412</v>
      </c>
      <c r="Z801" s="25"/>
      <c r="AA801" s="21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</row>
    <row r="802">
      <c r="A802" s="21"/>
      <c r="B802" s="21"/>
      <c r="C802" s="21"/>
      <c r="D802" s="21"/>
      <c r="E802" s="21"/>
      <c r="F802" s="21" t="s">
        <v>33</v>
      </c>
      <c r="G802" s="21">
        <v>7308.0</v>
      </c>
      <c r="H802" s="26">
        <v>39.642559</v>
      </c>
      <c r="I802" s="26">
        <v>-112.819365</v>
      </c>
      <c r="J802" s="21">
        <v>1460.62</v>
      </c>
      <c r="K802" s="11">
        <v>7672.83</v>
      </c>
      <c r="L802" s="11">
        <v>38386.981</v>
      </c>
      <c r="M802" s="11">
        <v>-29.833</v>
      </c>
      <c r="N802" s="11">
        <v>7672.824</v>
      </c>
      <c r="O802" s="11">
        <v>38386.951</v>
      </c>
      <c r="P802" s="11">
        <v>-34.843</v>
      </c>
      <c r="Q802" s="11">
        <v>1473.85</v>
      </c>
      <c r="R802" s="11">
        <v>-19.24</v>
      </c>
      <c r="S802" s="12">
        <v>0.89</v>
      </c>
      <c r="T802" s="14">
        <f t="shared" si="9"/>
        <v>1455.61</v>
      </c>
      <c r="U802" s="14">
        <f t="shared" si="2"/>
        <v>5.01</v>
      </c>
      <c r="V802" s="14">
        <f t="shared" si="3"/>
        <v>0.5760764569</v>
      </c>
      <c r="W802" s="15" t="str">
        <f t="shared" si="4"/>
        <v/>
      </c>
      <c r="X802" s="11">
        <f t="shared" si="5"/>
        <v>1456.068</v>
      </c>
      <c r="Y802" s="14">
        <f t="shared" si="6"/>
        <v>-0.458</v>
      </c>
      <c r="Z802" s="25"/>
      <c r="AA802" s="21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</row>
    <row r="803">
      <c r="A803" s="21"/>
      <c r="B803" s="21"/>
      <c r="C803" s="21"/>
      <c r="D803" s="21"/>
      <c r="E803" s="21"/>
      <c r="F803" s="21" t="s">
        <v>33</v>
      </c>
      <c r="G803" s="21">
        <v>7309.0</v>
      </c>
      <c r="H803" s="26">
        <v>39.642221</v>
      </c>
      <c r="I803" s="26">
        <v>-112.795599</v>
      </c>
      <c r="J803" s="21">
        <v>1461.85</v>
      </c>
      <c r="K803" s="11">
        <v>9713.356</v>
      </c>
      <c r="L803" s="11">
        <v>38351.737</v>
      </c>
      <c r="M803" s="11">
        <v>-31.167</v>
      </c>
      <c r="N803" s="11">
        <v>9713.35</v>
      </c>
      <c r="O803" s="11">
        <v>38351.716</v>
      </c>
      <c r="P803" s="11">
        <v>-34.727</v>
      </c>
      <c r="Q803" s="11">
        <v>1476.49</v>
      </c>
      <c r="R803" s="11">
        <v>-19.2</v>
      </c>
      <c r="S803" s="12">
        <v>0.89</v>
      </c>
      <c r="T803" s="14">
        <f t="shared" si="9"/>
        <v>1458.29</v>
      </c>
      <c r="U803" s="14">
        <f t="shared" si="2"/>
        <v>3.56</v>
      </c>
      <c r="V803" s="14">
        <f t="shared" si="3"/>
        <v>-1.247746387</v>
      </c>
      <c r="W803" s="15" t="str">
        <f t="shared" si="4"/>
        <v/>
      </c>
      <c r="X803" s="11">
        <f t="shared" si="5"/>
        <v>1457.298</v>
      </c>
      <c r="Y803" s="14">
        <f t="shared" si="6"/>
        <v>0.992</v>
      </c>
      <c r="Z803" s="25"/>
      <c r="AA803" s="21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</row>
    <row r="804">
      <c r="A804" s="21"/>
      <c r="B804" s="21"/>
      <c r="C804" s="21"/>
      <c r="D804" s="21"/>
      <c r="E804" s="21"/>
      <c r="F804" s="21" t="s">
        <v>33</v>
      </c>
      <c r="G804" s="21">
        <v>7310.0</v>
      </c>
      <c r="H804" s="26">
        <v>39.642578</v>
      </c>
      <c r="I804" s="26">
        <v>-112.771306</v>
      </c>
      <c r="J804" s="21">
        <v>1472.29</v>
      </c>
      <c r="K804" s="11">
        <v>11799.045</v>
      </c>
      <c r="L804" s="11">
        <v>38394.334</v>
      </c>
      <c r="M804" s="11">
        <v>-24.496</v>
      </c>
      <c r="N804" s="11">
        <v>11799.041</v>
      </c>
      <c r="O804" s="11">
        <v>38394.319</v>
      </c>
      <c r="P804" s="11">
        <v>-26.856</v>
      </c>
      <c r="Q804" s="11">
        <v>1488.09</v>
      </c>
      <c r="R804" s="11">
        <v>-19.16</v>
      </c>
      <c r="S804" s="12">
        <v>0.89</v>
      </c>
      <c r="T804" s="14">
        <f t="shared" si="9"/>
        <v>1469.93</v>
      </c>
      <c r="U804" s="14">
        <f t="shared" si="2"/>
        <v>2.36</v>
      </c>
      <c r="V804" s="14">
        <f t="shared" si="3"/>
        <v>-2.757117016</v>
      </c>
      <c r="W804" s="15" t="str">
        <f t="shared" si="4"/>
        <v/>
      </c>
      <c r="X804" s="11">
        <f t="shared" si="5"/>
        <v>1467.738</v>
      </c>
      <c r="Y804" s="14">
        <f t="shared" si="6"/>
        <v>2.192</v>
      </c>
      <c r="Z804" s="25"/>
      <c r="AA804" s="21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</row>
    <row r="805">
      <c r="A805" s="21"/>
      <c r="B805" s="21"/>
      <c r="C805" s="21"/>
      <c r="D805" s="21"/>
      <c r="E805" s="21"/>
      <c r="F805" s="21" t="s">
        <v>33</v>
      </c>
      <c r="G805" s="21">
        <v>7311.0</v>
      </c>
      <c r="H805" s="26">
        <v>39.642082</v>
      </c>
      <c r="I805" s="26">
        <v>-112.746344</v>
      </c>
      <c r="J805" s="21">
        <v>1445.08</v>
      </c>
      <c r="K805" s="11">
        <v>13942.246</v>
      </c>
      <c r="L805" s="11">
        <v>38342.64</v>
      </c>
      <c r="M805" s="11">
        <v>-55.713</v>
      </c>
      <c r="N805" s="11">
        <v>13942.235</v>
      </c>
      <c r="O805" s="11">
        <v>38342.611</v>
      </c>
      <c r="P805" s="11">
        <v>-60.492</v>
      </c>
      <c r="Q805" s="11">
        <v>1458.43</v>
      </c>
      <c r="R805" s="11">
        <v>-19.13</v>
      </c>
      <c r="S805" s="12">
        <v>0.89</v>
      </c>
      <c r="T805" s="14">
        <f t="shared" si="9"/>
        <v>1440.3</v>
      </c>
      <c r="U805" s="14">
        <f t="shared" si="2"/>
        <v>4.78</v>
      </c>
      <c r="V805" s="14">
        <f t="shared" si="3"/>
        <v>0.2867804196</v>
      </c>
      <c r="W805" s="15" t="str">
        <f t="shared" si="4"/>
        <v/>
      </c>
      <c r="X805" s="11">
        <f t="shared" si="5"/>
        <v>1440.528</v>
      </c>
      <c r="Y805" s="14">
        <f t="shared" si="6"/>
        <v>-0.228</v>
      </c>
      <c r="Z805" s="25"/>
      <c r="AA805" s="21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</row>
    <row r="806">
      <c r="A806" s="21"/>
      <c r="B806" s="21"/>
      <c r="C806" s="21"/>
      <c r="D806" s="21"/>
      <c r="E806" s="21"/>
      <c r="F806" s="21" t="s">
        <v>33</v>
      </c>
      <c r="G806" s="21">
        <v>7313.0</v>
      </c>
      <c r="H806" s="26">
        <v>39.644019</v>
      </c>
      <c r="I806" s="26">
        <v>-112.698677</v>
      </c>
      <c r="J806" s="21">
        <v>1384.42</v>
      </c>
      <c r="K806" s="11">
        <v>18034.117</v>
      </c>
      <c r="L806" s="11">
        <v>38565.801</v>
      </c>
      <c r="M806" s="11">
        <v>-127.964</v>
      </c>
      <c r="N806" s="11">
        <v>18034.104</v>
      </c>
      <c r="O806" s="11">
        <v>38565.774</v>
      </c>
      <c r="P806" s="11">
        <v>-132.564</v>
      </c>
      <c r="Q806" s="11">
        <v>1397.89</v>
      </c>
      <c r="R806" s="11">
        <v>-19.07</v>
      </c>
      <c r="S806" s="12">
        <v>0.89</v>
      </c>
      <c r="T806" s="14">
        <f t="shared" si="9"/>
        <v>1379.82</v>
      </c>
      <c r="U806" s="14">
        <f t="shared" si="2"/>
        <v>4.6</v>
      </c>
      <c r="V806" s="14">
        <f t="shared" si="3"/>
        <v>0.06037482517</v>
      </c>
      <c r="W806" s="15" t="str">
        <f t="shared" si="4"/>
        <v/>
      </c>
      <c r="X806" s="11">
        <f t="shared" si="5"/>
        <v>1379.868</v>
      </c>
      <c r="Y806" s="14">
        <f t="shared" si="6"/>
        <v>-0.048</v>
      </c>
      <c r="Z806" s="25"/>
      <c r="AA806" s="21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</row>
    <row r="807">
      <c r="A807" s="21"/>
      <c r="B807" s="21"/>
      <c r="C807" s="21"/>
      <c r="D807" s="21"/>
      <c r="E807" s="21"/>
      <c r="F807" s="21" t="s">
        <v>33</v>
      </c>
      <c r="G807" s="21">
        <v>7404.0</v>
      </c>
      <c r="H807" s="26">
        <v>39.658974</v>
      </c>
      <c r="I807" s="26">
        <v>-112.917218</v>
      </c>
      <c r="J807" s="21">
        <v>1494.42</v>
      </c>
      <c r="K807" s="11">
        <v>-728.37</v>
      </c>
      <c r="L807" s="11">
        <v>40206.346</v>
      </c>
      <c r="M807" s="11">
        <v>-2.703</v>
      </c>
      <c r="N807" s="11">
        <v>-728.369</v>
      </c>
      <c r="O807" s="11">
        <v>40206.326</v>
      </c>
      <c r="P807" s="11">
        <v>-5.963</v>
      </c>
      <c r="Q807" s="11">
        <v>1509.45</v>
      </c>
      <c r="R807" s="11">
        <v>-19.29</v>
      </c>
      <c r="S807" s="12">
        <v>0.89</v>
      </c>
      <c r="T807" s="14">
        <f t="shared" si="9"/>
        <v>1491.16</v>
      </c>
      <c r="U807" s="14">
        <f t="shared" si="2"/>
        <v>3.26</v>
      </c>
      <c r="V807" s="14">
        <f t="shared" si="3"/>
        <v>-1.625089044</v>
      </c>
      <c r="W807" s="15" t="str">
        <f t="shared" si="4"/>
        <v/>
      </c>
      <c r="X807" s="11">
        <f t="shared" si="5"/>
        <v>1489.868</v>
      </c>
      <c r="Y807" s="14">
        <f t="shared" si="6"/>
        <v>1.292</v>
      </c>
      <c r="Z807" s="25"/>
      <c r="AA807" s="21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</row>
    <row r="808">
      <c r="A808" s="21"/>
      <c r="B808" s="21"/>
      <c r="C808" s="21"/>
      <c r="D808" s="21"/>
      <c r="E808" s="21"/>
      <c r="F808" s="21" t="s">
        <v>33</v>
      </c>
      <c r="G808" s="21">
        <v>7405.0</v>
      </c>
      <c r="H808" s="26">
        <v>39.659401</v>
      </c>
      <c r="I808" s="26">
        <v>-112.893073</v>
      </c>
      <c r="J808" s="21">
        <v>1466.22</v>
      </c>
      <c r="K808" s="11">
        <v>1344.156</v>
      </c>
      <c r="L808" s="11">
        <v>40253.669</v>
      </c>
      <c r="M808" s="11">
        <v>-31.302</v>
      </c>
      <c r="N808" s="11">
        <v>1344.155</v>
      </c>
      <c r="O808" s="11">
        <v>40253.644</v>
      </c>
      <c r="P808" s="11">
        <v>-35.242</v>
      </c>
      <c r="Q808" s="11">
        <v>1480.56</v>
      </c>
      <c r="R808" s="11">
        <v>-19.28</v>
      </c>
      <c r="S808" s="12">
        <v>0.89</v>
      </c>
      <c r="T808" s="14">
        <f t="shared" si="9"/>
        <v>1462.28</v>
      </c>
      <c r="U808" s="14">
        <f t="shared" si="2"/>
        <v>3.94</v>
      </c>
      <c r="V808" s="14">
        <f t="shared" si="3"/>
        <v>-0.769779021</v>
      </c>
      <c r="W808" s="15" t="str">
        <f t="shared" si="4"/>
        <v/>
      </c>
      <c r="X808" s="11">
        <f t="shared" si="5"/>
        <v>1461.668</v>
      </c>
      <c r="Y808" s="14">
        <f t="shared" si="6"/>
        <v>0.612</v>
      </c>
      <c r="Z808" s="25"/>
      <c r="AA808" s="21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</row>
    <row r="809">
      <c r="A809" s="21"/>
      <c r="B809" s="21"/>
      <c r="C809" s="21"/>
      <c r="D809" s="21"/>
      <c r="E809" s="21"/>
      <c r="F809" s="21" t="s">
        <v>33</v>
      </c>
      <c r="G809" s="21">
        <v>7406.0</v>
      </c>
      <c r="H809" s="26">
        <v>39.659819</v>
      </c>
      <c r="I809" s="26">
        <v>-112.868833</v>
      </c>
      <c r="J809" s="21">
        <v>1457.76</v>
      </c>
      <c r="K809" s="11">
        <v>3424.802</v>
      </c>
      <c r="L809" s="11">
        <v>40300.674</v>
      </c>
      <c r="M809" s="11">
        <v>-40.837</v>
      </c>
      <c r="N809" s="11">
        <v>3424.801</v>
      </c>
      <c r="O809" s="11">
        <v>40300.653</v>
      </c>
      <c r="P809" s="11">
        <v>-44.117</v>
      </c>
      <c r="Q809" s="11">
        <v>1472.75</v>
      </c>
      <c r="R809" s="11">
        <v>-19.27</v>
      </c>
      <c r="S809" s="12">
        <v>0.89</v>
      </c>
      <c r="T809" s="14">
        <f t="shared" si="9"/>
        <v>1454.48</v>
      </c>
      <c r="U809" s="14">
        <f t="shared" si="2"/>
        <v>3.28</v>
      </c>
      <c r="V809" s="14">
        <f t="shared" si="3"/>
        <v>-1.599932867</v>
      </c>
      <c r="W809" s="15" t="str">
        <f t="shared" si="4"/>
        <v/>
      </c>
      <c r="X809" s="11">
        <f t="shared" si="5"/>
        <v>1453.208</v>
      </c>
      <c r="Y809" s="14">
        <f t="shared" si="6"/>
        <v>1.272</v>
      </c>
      <c r="Z809" s="25"/>
      <c r="AA809" s="21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</row>
    <row r="810">
      <c r="A810" s="21"/>
      <c r="B810" s="21"/>
      <c r="C810" s="21"/>
      <c r="D810" s="21"/>
      <c r="E810" s="21"/>
      <c r="F810" s="21" t="s">
        <v>33</v>
      </c>
      <c r="G810" s="21">
        <v>7407.0</v>
      </c>
      <c r="H810" s="26">
        <v>39.660203</v>
      </c>
      <c r="I810" s="26">
        <v>-112.844543</v>
      </c>
      <c r="J810" s="21">
        <v>1450.06</v>
      </c>
      <c r="K810" s="11">
        <v>5509.713</v>
      </c>
      <c r="L810" s="11">
        <v>40344.468</v>
      </c>
      <c r="M810" s="11">
        <v>-50.272</v>
      </c>
      <c r="N810" s="11">
        <v>5509.71</v>
      </c>
      <c r="O810" s="11">
        <v>40344.445</v>
      </c>
      <c r="P810" s="11">
        <v>-53.902</v>
      </c>
      <c r="Q810" s="11">
        <v>1464.68</v>
      </c>
      <c r="R810" s="11">
        <v>-19.25</v>
      </c>
      <c r="S810" s="12">
        <v>0.89</v>
      </c>
      <c r="T810" s="14">
        <f t="shared" si="9"/>
        <v>1446.43</v>
      </c>
      <c r="U810" s="14">
        <f t="shared" si="2"/>
        <v>3.63</v>
      </c>
      <c r="V810" s="14">
        <f t="shared" si="3"/>
        <v>-1.159699767</v>
      </c>
      <c r="W810" s="15" t="str">
        <f t="shared" si="4"/>
        <v/>
      </c>
      <c r="X810" s="11">
        <f t="shared" si="5"/>
        <v>1445.508</v>
      </c>
      <c r="Y810" s="14">
        <f t="shared" si="6"/>
        <v>0.922</v>
      </c>
      <c r="Z810" s="25"/>
      <c r="AA810" s="21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</row>
    <row r="811">
      <c r="A811" s="21"/>
      <c r="B811" s="21"/>
      <c r="C811" s="21"/>
      <c r="D811" s="21"/>
      <c r="E811" s="21"/>
      <c r="F811" s="21" t="s">
        <v>33</v>
      </c>
      <c r="G811" s="21">
        <v>7408.0</v>
      </c>
      <c r="H811" s="26">
        <v>39.66058</v>
      </c>
      <c r="I811" s="26">
        <v>-112.820292</v>
      </c>
      <c r="J811" s="21">
        <v>1440.24</v>
      </c>
      <c r="K811" s="11">
        <v>7591.246</v>
      </c>
      <c r="L811" s="11">
        <v>40388.028</v>
      </c>
      <c r="M811" s="11">
        <v>-62.503</v>
      </c>
      <c r="N811" s="11">
        <v>7591.243</v>
      </c>
      <c r="O811" s="11">
        <v>40388.012</v>
      </c>
      <c r="P811" s="11">
        <v>-65.053</v>
      </c>
      <c r="Q811" s="11">
        <v>1455.91</v>
      </c>
      <c r="R811" s="11">
        <v>-19.22</v>
      </c>
      <c r="S811" s="12">
        <v>0.89</v>
      </c>
      <c r="T811" s="14">
        <f t="shared" si="9"/>
        <v>1437.69</v>
      </c>
      <c r="U811" s="14">
        <f t="shared" si="2"/>
        <v>2.55</v>
      </c>
      <c r="V811" s="14">
        <f t="shared" si="3"/>
        <v>-2.518133333</v>
      </c>
      <c r="W811" s="15" t="str">
        <f t="shared" si="4"/>
        <v/>
      </c>
      <c r="X811" s="11">
        <f t="shared" si="5"/>
        <v>1435.688</v>
      </c>
      <c r="Y811" s="14">
        <f t="shared" si="6"/>
        <v>2.002</v>
      </c>
      <c r="Z811" s="25"/>
      <c r="AA811" s="21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</row>
    <row r="812">
      <c r="A812" s="21"/>
      <c r="B812" s="21"/>
      <c r="C812" s="21"/>
      <c r="D812" s="21"/>
      <c r="E812" s="21"/>
      <c r="F812" s="21" t="s">
        <v>33</v>
      </c>
      <c r="G812" s="21">
        <v>7409.0</v>
      </c>
      <c r="H812" s="26">
        <v>39.660983</v>
      </c>
      <c r="I812" s="26">
        <v>-112.796021</v>
      </c>
      <c r="J812" s="21">
        <v>1442.4</v>
      </c>
      <c r="K812" s="11">
        <v>9674.479</v>
      </c>
      <c r="L812" s="11">
        <v>40435.112</v>
      </c>
      <c r="M812" s="11">
        <v>-63.458</v>
      </c>
      <c r="N812" s="11">
        <v>9674.475</v>
      </c>
      <c r="O812" s="11">
        <v>40435.096</v>
      </c>
      <c r="P812" s="11">
        <v>-65.838</v>
      </c>
      <c r="Q812" s="11">
        <v>1458.2</v>
      </c>
      <c r="R812" s="11">
        <v>-19.18</v>
      </c>
      <c r="S812" s="12">
        <v>0.89</v>
      </c>
      <c r="T812" s="14">
        <f t="shared" si="9"/>
        <v>1440.02</v>
      </c>
      <c r="U812" s="14">
        <f t="shared" si="2"/>
        <v>2.38</v>
      </c>
      <c r="V812" s="14">
        <f t="shared" si="3"/>
        <v>-2.731960839</v>
      </c>
      <c r="W812" s="15" t="str">
        <f t="shared" si="4"/>
        <v/>
      </c>
      <c r="X812" s="11">
        <f t="shared" si="5"/>
        <v>1437.848</v>
      </c>
      <c r="Y812" s="14">
        <f t="shared" si="6"/>
        <v>2.172</v>
      </c>
      <c r="Z812" s="25"/>
      <c r="AA812" s="21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</row>
    <row r="813">
      <c r="A813" s="21"/>
      <c r="B813" s="21"/>
      <c r="C813" s="21"/>
      <c r="D813" s="21"/>
      <c r="E813" s="21"/>
      <c r="F813" s="21" t="s">
        <v>33</v>
      </c>
      <c r="G813" s="21">
        <v>7411.0</v>
      </c>
      <c r="H813" s="26">
        <v>39.661452</v>
      </c>
      <c r="I813" s="26">
        <v>-112.747267</v>
      </c>
      <c r="J813" s="21">
        <v>1398.64</v>
      </c>
      <c r="K813" s="11">
        <v>13859.031</v>
      </c>
      <c r="L813" s="11">
        <v>40493.257</v>
      </c>
      <c r="M813" s="11">
        <v>-115.296</v>
      </c>
      <c r="N813" s="11">
        <v>13859.02</v>
      </c>
      <c r="O813" s="11">
        <v>40493.227</v>
      </c>
      <c r="P813" s="11">
        <v>-120.106</v>
      </c>
      <c r="Q813" s="11">
        <v>1411.94</v>
      </c>
      <c r="R813" s="11">
        <v>-19.11</v>
      </c>
      <c r="S813" s="12">
        <v>0.89</v>
      </c>
      <c r="T813" s="14">
        <f t="shared" si="9"/>
        <v>1393.83</v>
      </c>
      <c r="U813" s="14">
        <f t="shared" si="2"/>
        <v>4.81</v>
      </c>
      <c r="V813" s="14">
        <f t="shared" si="3"/>
        <v>0.3245146853</v>
      </c>
      <c r="W813" s="15" t="str">
        <f t="shared" si="4"/>
        <v/>
      </c>
      <c r="X813" s="11">
        <f t="shared" si="5"/>
        <v>1394.088</v>
      </c>
      <c r="Y813" s="14">
        <f t="shared" si="6"/>
        <v>-0.258</v>
      </c>
      <c r="Z813" s="25"/>
      <c r="AA813" s="21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</row>
    <row r="814">
      <c r="A814" s="21"/>
      <c r="B814" s="21"/>
      <c r="C814" s="21"/>
      <c r="D814" s="21"/>
      <c r="E814" s="21"/>
      <c r="F814" s="21" t="s">
        <v>33</v>
      </c>
      <c r="G814" s="21">
        <v>7412.0</v>
      </c>
      <c r="H814" s="26">
        <v>39.662068</v>
      </c>
      <c r="I814" s="26">
        <v>-112.723282</v>
      </c>
      <c r="J814" s="21">
        <v>1386.0</v>
      </c>
      <c r="K814" s="11">
        <v>15917.55</v>
      </c>
      <c r="L814" s="11">
        <v>40565.531</v>
      </c>
      <c r="M814" s="11">
        <v>-133.195</v>
      </c>
      <c r="N814" s="11">
        <v>15917.539</v>
      </c>
      <c r="O814" s="11">
        <v>40565.504</v>
      </c>
      <c r="P814" s="11">
        <v>-137.424</v>
      </c>
      <c r="Q814" s="11">
        <v>1399.85</v>
      </c>
      <c r="R814" s="11">
        <v>-19.08</v>
      </c>
      <c r="S814" s="12">
        <v>0.89</v>
      </c>
      <c r="T814" s="14">
        <f t="shared" si="9"/>
        <v>1381.77</v>
      </c>
      <c r="U814" s="14">
        <f t="shared" si="2"/>
        <v>4.23</v>
      </c>
      <c r="V814" s="14">
        <f t="shared" si="3"/>
        <v>-0.4050144522</v>
      </c>
      <c r="W814" s="15" t="str">
        <f t="shared" si="4"/>
        <v/>
      </c>
      <c r="X814" s="11">
        <f t="shared" si="5"/>
        <v>1381.448</v>
      </c>
      <c r="Y814" s="14">
        <f t="shared" si="6"/>
        <v>0.322</v>
      </c>
      <c r="Z814" s="25"/>
      <c r="AA814" s="21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</row>
    <row r="815">
      <c r="A815" s="21"/>
      <c r="B815" s="21"/>
      <c r="C815" s="21"/>
      <c r="D815" s="21"/>
      <c r="E815" s="21"/>
      <c r="F815" s="21" t="s">
        <v>33</v>
      </c>
      <c r="G815" s="21">
        <v>7413.0</v>
      </c>
      <c r="H815" s="26">
        <v>39.662407</v>
      </c>
      <c r="I815" s="26">
        <v>-112.699089</v>
      </c>
      <c r="J815" s="21">
        <v>1386.56</v>
      </c>
      <c r="K815" s="11">
        <v>17993.983</v>
      </c>
      <c r="L815" s="11">
        <v>40607.715</v>
      </c>
      <c r="M815" s="11">
        <v>-138.415</v>
      </c>
      <c r="N815" s="11">
        <v>17993.971</v>
      </c>
      <c r="O815" s="11">
        <v>40607.687</v>
      </c>
      <c r="P815" s="11">
        <v>-142.735</v>
      </c>
      <c r="Q815" s="11">
        <v>1400.28</v>
      </c>
      <c r="R815" s="11">
        <v>-19.04</v>
      </c>
      <c r="S815" s="12">
        <v>0.89</v>
      </c>
      <c r="T815" s="14">
        <f t="shared" si="9"/>
        <v>1382.24</v>
      </c>
      <c r="U815" s="14">
        <f t="shared" si="2"/>
        <v>4.32</v>
      </c>
      <c r="V815" s="14">
        <f t="shared" si="3"/>
        <v>-0.291811655</v>
      </c>
      <c r="W815" s="15" t="str">
        <f t="shared" si="4"/>
        <v/>
      </c>
      <c r="X815" s="11">
        <f t="shared" si="5"/>
        <v>1382.008</v>
      </c>
      <c r="Y815" s="14">
        <f t="shared" si="6"/>
        <v>0.232</v>
      </c>
      <c r="Z815" s="25"/>
      <c r="AA815" s="21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</row>
    <row r="816">
      <c r="A816" s="21"/>
      <c r="B816" s="21"/>
      <c r="C816" s="21"/>
      <c r="D816" s="21"/>
      <c r="E816" s="21"/>
      <c r="F816" s="21" t="s">
        <v>33</v>
      </c>
      <c r="G816" s="21">
        <v>7504.0</v>
      </c>
      <c r="H816" s="26">
        <v>39.677746</v>
      </c>
      <c r="I816" s="26">
        <v>-112.917689</v>
      </c>
      <c r="J816" s="21">
        <v>1515.59</v>
      </c>
      <c r="K816" s="11">
        <v>-768.594</v>
      </c>
      <c r="L816" s="11">
        <v>42291.159</v>
      </c>
      <c r="M816" s="11">
        <v>4.947</v>
      </c>
      <c r="N816" s="11">
        <v>-768.593</v>
      </c>
      <c r="O816" s="11">
        <v>42291.144</v>
      </c>
      <c r="P816" s="11">
        <v>2.597</v>
      </c>
      <c r="Q816" s="11">
        <v>1531.48</v>
      </c>
      <c r="R816" s="11">
        <v>-19.24</v>
      </c>
      <c r="S816" s="12">
        <v>0.89</v>
      </c>
      <c r="T816" s="14">
        <f t="shared" si="9"/>
        <v>1513.24</v>
      </c>
      <c r="U816" s="14">
        <f t="shared" si="2"/>
        <v>2.35</v>
      </c>
      <c r="V816" s="14">
        <f t="shared" si="3"/>
        <v>-2.769695105</v>
      </c>
      <c r="W816" s="15" t="str">
        <f t="shared" si="4"/>
        <v/>
      </c>
      <c r="X816" s="11">
        <f t="shared" si="5"/>
        <v>1511.038</v>
      </c>
      <c r="Y816" s="14">
        <f t="shared" si="6"/>
        <v>2.202</v>
      </c>
      <c r="Z816" s="25"/>
      <c r="AA816" s="21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</row>
    <row r="817">
      <c r="A817" s="21"/>
      <c r="B817" s="21"/>
      <c r="C817" s="21"/>
      <c r="D817" s="21"/>
      <c r="E817" s="21"/>
      <c r="F817" s="21" t="s">
        <v>33</v>
      </c>
      <c r="G817" s="21">
        <v>7505.0</v>
      </c>
      <c r="H817" s="26">
        <v>39.678122</v>
      </c>
      <c r="I817" s="26">
        <v>-112.893464</v>
      </c>
      <c r="J817" s="21">
        <v>1486.54</v>
      </c>
      <c r="K817" s="11">
        <v>1310.244</v>
      </c>
      <c r="L817" s="11">
        <v>42332.794</v>
      </c>
      <c r="M817" s="11">
        <v>-24.468</v>
      </c>
      <c r="N817" s="11">
        <v>1310.243</v>
      </c>
      <c r="O817" s="11">
        <v>42332.769</v>
      </c>
      <c r="P817" s="11">
        <v>-28.258</v>
      </c>
      <c r="Q817" s="11">
        <v>1500.99</v>
      </c>
      <c r="R817" s="11">
        <v>-19.24</v>
      </c>
      <c r="S817" s="12">
        <v>0.89</v>
      </c>
      <c r="T817" s="14">
        <f t="shared" si="9"/>
        <v>1482.75</v>
      </c>
      <c r="U817" s="14">
        <f t="shared" si="2"/>
        <v>3.79</v>
      </c>
      <c r="V817" s="14">
        <f t="shared" si="3"/>
        <v>-0.9584503497</v>
      </c>
      <c r="W817" s="15" t="str">
        <f t="shared" si="4"/>
        <v/>
      </c>
      <c r="X817" s="11">
        <f t="shared" si="5"/>
        <v>1481.988</v>
      </c>
      <c r="Y817" s="14">
        <f t="shared" si="6"/>
        <v>0.762</v>
      </c>
      <c r="Z817" s="25"/>
      <c r="AA817" s="21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</row>
    <row r="818">
      <c r="A818" s="21"/>
      <c r="B818" s="21"/>
      <c r="C818" s="21"/>
      <c r="D818" s="21"/>
      <c r="E818" s="21"/>
      <c r="F818" s="21" t="s">
        <v>33</v>
      </c>
      <c r="G818" s="21">
        <v>7506.0</v>
      </c>
      <c r="H818" s="26">
        <v>39.678551</v>
      </c>
      <c r="I818" s="26">
        <v>-112.869285</v>
      </c>
      <c r="J818" s="21">
        <v>1477.09</v>
      </c>
      <c r="K818" s="11">
        <v>3385.101</v>
      </c>
      <c r="L818" s="11">
        <v>42381.0</v>
      </c>
      <c r="M818" s="11">
        <v>-35.002</v>
      </c>
      <c r="N818" s="11">
        <v>3385.099</v>
      </c>
      <c r="O818" s="11">
        <v>42380.975</v>
      </c>
      <c r="P818" s="11">
        <v>-38.752</v>
      </c>
      <c r="Q818" s="11">
        <v>1491.58</v>
      </c>
      <c r="R818" s="11">
        <v>-19.24</v>
      </c>
      <c r="S818" s="12">
        <v>0.89</v>
      </c>
      <c r="T818" s="14">
        <f t="shared" si="9"/>
        <v>1473.34</v>
      </c>
      <c r="U818" s="14">
        <f t="shared" si="2"/>
        <v>3.75</v>
      </c>
      <c r="V818" s="14">
        <f t="shared" si="3"/>
        <v>-1.008762704</v>
      </c>
      <c r="W818" s="15" t="str">
        <f t="shared" si="4"/>
        <v/>
      </c>
      <c r="X818" s="11">
        <f t="shared" si="5"/>
        <v>1472.538</v>
      </c>
      <c r="Y818" s="14">
        <f t="shared" si="6"/>
        <v>0.802</v>
      </c>
      <c r="Z818" s="25"/>
      <c r="AA818" s="21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</row>
    <row r="819">
      <c r="A819" s="21"/>
      <c r="B819" s="21"/>
      <c r="C819" s="21"/>
      <c r="D819" s="21"/>
      <c r="E819" s="21"/>
      <c r="F819" s="21" t="s">
        <v>33</v>
      </c>
      <c r="G819" s="21">
        <v>7507.0</v>
      </c>
      <c r="H819" s="26">
        <v>39.678936</v>
      </c>
      <c r="I819" s="26">
        <v>-112.845004</v>
      </c>
      <c r="J819" s="21">
        <v>1466.98</v>
      </c>
      <c r="K819" s="11">
        <v>5468.681</v>
      </c>
      <c r="L819" s="11">
        <v>42424.876</v>
      </c>
      <c r="M819" s="11">
        <v>-46.849</v>
      </c>
      <c r="N819" s="11">
        <v>5468.677</v>
      </c>
      <c r="O819" s="11">
        <v>42424.851</v>
      </c>
      <c r="P819" s="11">
        <v>-50.599</v>
      </c>
      <c r="Q819" s="11">
        <v>1481.45</v>
      </c>
      <c r="R819" s="11">
        <v>-19.22</v>
      </c>
      <c r="S819" s="12">
        <v>0.89</v>
      </c>
      <c r="T819" s="14">
        <f t="shared" si="9"/>
        <v>1463.23</v>
      </c>
      <c r="U819" s="14">
        <f t="shared" si="2"/>
        <v>3.75</v>
      </c>
      <c r="V819" s="14">
        <f t="shared" si="3"/>
        <v>-1.008762704</v>
      </c>
      <c r="W819" s="15" t="str">
        <f t="shared" si="4"/>
        <v/>
      </c>
      <c r="X819" s="11">
        <f t="shared" si="5"/>
        <v>1462.428</v>
      </c>
      <c r="Y819" s="14">
        <f t="shared" si="6"/>
        <v>0.802</v>
      </c>
      <c r="Z819" s="25"/>
      <c r="AA819" s="21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</row>
    <row r="820">
      <c r="A820" s="21"/>
      <c r="B820" s="21"/>
      <c r="C820" s="21"/>
      <c r="D820" s="21"/>
      <c r="E820" s="21"/>
      <c r="F820" s="21" t="s">
        <v>33</v>
      </c>
      <c r="G820" s="21">
        <v>7508.0</v>
      </c>
      <c r="H820" s="26">
        <v>39.679154</v>
      </c>
      <c r="I820" s="26">
        <v>-112.820662</v>
      </c>
      <c r="J820" s="21">
        <v>1444.93</v>
      </c>
      <c r="K820" s="11">
        <v>7557.468</v>
      </c>
      <c r="L820" s="11">
        <v>42450.69</v>
      </c>
      <c r="M820" s="11">
        <v>-71.201</v>
      </c>
      <c r="N820" s="11">
        <v>7557.463</v>
      </c>
      <c r="O820" s="11">
        <v>42450.658</v>
      </c>
      <c r="P820" s="11">
        <v>-76.111</v>
      </c>
      <c r="Q820" s="11">
        <v>1458.22</v>
      </c>
      <c r="R820" s="11">
        <v>-19.2</v>
      </c>
      <c r="S820" s="12">
        <v>0.89</v>
      </c>
      <c r="T820" s="14">
        <f t="shared" si="9"/>
        <v>1440.02</v>
      </c>
      <c r="U820" s="14">
        <f t="shared" si="2"/>
        <v>4.91</v>
      </c>
      <c r="V820" s="14">
        <f t="shared" si="3"/>
        <v>0.4502955711</v>
      </c>
      <c r="W820" s="15" t="str">
        <f t="shared" si="4"/>
        <v/>
      </c>
      <c r="X820" s="11">
        <f t="shared" si="5"/>
        <v>1440.378</v>
      </c>
      <c r="Y820" s="14">
        <f t="shared" si="6"/>
        <v>-0.358</v>
      </c>
      <c r="Z820" s="25"/>
      <c r="AA820" s="21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</row>
    <row r="821">
      <c r="A821" s="21"/>
      <c r="B821" s="21"/>
      <c r="C821" s="21"/>
      <c r="D821" s="21"/>
      <c r="E821" s="21"/>
      <c r="F821" s="21" t="s">
        <v>33</v>
      </c>
      <c r="G821" s="21">
        <v>7509.0</v>
      </c>
      <c r="H821" s="26">
        <v>39.679162</v>
      </c>
      <c r="I821" s="26">
        <v>-112.797457</v>
      </c>
      <c r="J821" s="21">
        <v>1434.11</v>
      </c>
      <c r="K821" s="11">
        <v>9548.706</v>
      </c>
      <c r="L821" s="11">
        <v>42453.7</v>
      </c>
      <c r="M821" s="11">
        <v>-84.707</v>
      </c>
      <c r="N821" s="11">
        <v>9548.699</v>
      </c>
      <c r="O821" s="11">
        <v>42453.671</v>
      </c>
      <c r="P821" s="11">
        <v>-89.107</v>
      </c>
      <c r="Q821" s="11">
        <v>1447.88</v>
      </c>
      <c r="R821" s="11">
        <v>-19.17</v>
      </c>
      <c r="S821" s="12">
        <v>0.89</v>
      </c>
      <c r="T821" s="14">
        <f t="shared" si="9"/>
        <v>1429.71</v>
      </c>
      <c r="U821" s="14">
        <f t="shared" si="2"/>
        <v>4.4</v>
      </c>
      <c r="V821" s="14">
        <f t="shared" si="3"/>
        <v>-0.1911869464</v>
      </c>
      <c r="W821" s="15" t="str">
        <f t="shared" si="4"/>
        <v/>
      </c>
      <c r="X821" s="11">
        <f t="shared" si="5"/>
        <v>1429.558</v>
      </c>
      <c r="Y821" s="14">
        <f t="shared" si="6"/>
        <v>0.152</v>
      </c>
      <c r="Z821" s="25"/>
      <c r="AA821" s="21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</row>
    <row r="822">
      <c r="A822" s="21"/>
      <c r="B822" s="21"/>
      <c r="C822" s="21"/>
      <c r="D822" s="21"/>
      <c r="E822" s="21"/>
      <c r="F822" s="21" t="s">
        <v>33</v>
      </c>
      <c r="G822" s="21">
        <v>7510.0</v>
      </c>
      <c r="H822" s="26">
        <v>39.680071</v>
      </c>
      <c r="I822" s="26">
        <v>-112.772303</v>
      </c>
      <c r="J822" s="21">
        <v>1410.9</v>
      </c>
      <c r="K822" s="11">
        <v>11707.006</v>
      </c>
      <c r="L822" s="11">
        <v>42557.446</v>
      </c>
      <c r="M822" s="11">
        <v>-112.202</v>
      </c>
      <c r="N822" s="11">
        <v>11707.0</v>
      </c>
      <c r="O822" s="11">
        <v>42557.426</v>
      </c>
      <c r="P822" s="11">
        <v>-115.172</v>
      </c>
      <c r="Q822" s="11">
        <v>1426.05</v>
      </c>
      <c r="R822" s="11">
        <v>-19.12</v>
      </c>
      <c r="S822" s="12">
        <v>0.89</v>
      </c>
      <c r="T822" s="14">
        <f t="shared" si="9"/>
        <v>1407.93</v>
      </c>
      <c r="U822" s="14">
        <f t="shared" si="2"/>
        <v>2.97</v>
      </c>
      <c r="V822" s="14">
        <f t="shared" si="3"/>
        <v>-1.989853613</v>
      </c>
      <c r="W822" s="15" t="str">
        <f t="shared" si="4"/>
        <v/>
      </c>
      <c r="X822" s="11">
        <f t="shared" si="5"/>
        <v>1406.348</v>
      </c>
      <c r="Y822" s="14">
        <f t="shared" si="6"/>
        <v>1.582</v>
      </c>
      <c r="Z822" s="25"/>
      <c r="AA822" s="21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</row>
    <row r="823">
      <c r="A823" s="21"/>
      <c r="B823" s="21"/>
      <c r="C823" s="21"/>
      <c r="D823" s="21"/>
      <c r="E823" s="21"/>
      <c r="F823" s="21" t="s">
        <v>33</v>
      </c>
      <c r="G823" s="21">
        <v>7511.0</v>
      </c>
      <c r="H823" s="26">
        <v>39.680542</v>
      </c>
      <c r="I823" s="26">
        <v>-112.748026</v>
      </c>
      <c r="J823" s="21">
        <v>1397.26</v>
      </c>
      <c r="K823" s="11">
        <v>13790.085</v>
      </c>
      <c r="L823" s="11">
        <v>42613.08</v>
      </c>
      <c r="M823" s="11">
        <v>-130.372</v>
      </c>
      <c r="N823" s="11">
        <v>13790.074</v>
      </c>
      <c r="O823" s="11">
        <v>42613.046</v>
      </c>
      <c r="P823" s="11">
        <v>-135.501</v>
      </c>
      <c r="Q823" s="11">
        <v>1410.22</v>
      </c>
      <c r="R823" s="11">
        <v>-19.09</v>
      </c>
      <c r="S823" s="12">
        <v>0.89</v>
      </c>
      <c r="T823" s="14">
        <f t="shared" si="9"/>
        <v>1392.13</v>
      </c>
      <c r="U823" s="14">
        <f t="shared" si="2"/>
        <v>5.13</v>
      </c>
      <c r="V823" s="14">
        <f t="shared" si="3"/>
        <v>0.7270135198</v>
      </c>
      <c r="W823" s="15" t="str">
        <f t="shared" si="4"/>
        <v/>
      </c>
      <c r="X823" s="11">
        <f t="shared" si="5"/>
        <v>1392.708</v>
      </c>
      <c r="Y823" s="14">
        <f t="shared" si="6"/>
        <v>-0.578</v>
      </c>
      <c r="Z823" s="25"/>
      <c r="AA823" s="21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</row>
    <row r="824">
      <c r="A824" s="21"/>
      <c r="B824" s="21"/>
      <c r="C824" s="21"/>
      <c r="D824" s="21"/>
      <c r="E824" s="21"/>
      <c r="F824" s="21" t="s">
        <v>33</v>
      </c>
      <c r="G824" s="21">
        <v>7512.0</v>
      </c>
      <c r="H824" s="26">
        <v>39.680791</v>
      </c>
      <c r="I824" s="26">
        <v>-112.723823</v>
      </c>
      <c r="J824" s="21">
        <v>1388.81</v>
      </c>
      <c r="K824" s="11">
        <v>15866.838</v>
      </c>
      <c r="L824" s="11">
        <v>42644.642</v>
      </c>
      <c r="M824" s="11">
        <v>-143.854</v>
      </c>
      <c r="N824" s="11">
        <v>15866.825</v>
      </c>
      <c r="O824" s="11">
        <v>42644.607</v>
      </c>
      <c r="P824" s="11">
        <v>-149.044</v>
      </c>
      <c r="Q824" s="11">
        <v>1401.67</v>
      </c>
      <c r="R824" s="11">
        <v>-19.05</v>
      </c>
      <c r="S824" s="12">
        <v>0.89</v>
      </c>
      <c r="T824" s="14">
        <f t="shared" si="9"/>
        <v>1383.62</v>
      </c>
      <c r="U824" s="14">
        <f t="shared" si="2"/>
        <v>5.19</v>
      </c>
      <c r="V824" s="14">
        <f t="shared" si="3"/>
        <v>0.8024820513</v>
      </c>
      <c r="W824" s="15" t="str">
        <f t="shared" si="4"/>
        <v/>
      </c>
      <c r="X824" s="11">
        <f t="shared" si="5"/>
        <v>1384.258</v>
      </c>
      <c r="Y824" s="14">
        <f t="shared" si="6"/>
        <v>-0.638</v>
      </c>
      <c r="Z824" s="25"/>
      <c r="AA824" s="21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</row>
    <row r="825">
      <c r="A825" s="21"/>
      <c r="B825" s="21"/>
      <c r="C825" s="21"/>
      <c r="D825" s="21"/>
      <c r="E825" s="21"/>
      <c r="F825" s="21" t="s">
        <v>33</v>
      </c>
      <c r="G825" s="21">
        <v>7605.0</v>
      </c>
      <c r="H825" s="26">
        <v>39.696872</v>
      </c>
      <c r="I825" s="26">
        <v>-112.893993</v>
      </c>
      <c r="J825" s="21">
        <v>1518.45</v>
      </c>
      <c r="K825" s="11">
        <v>1264.513</v>
      </c>
      <c r="L825" s="11">
        <v>44415.234</v>
      </c>
      <c r="M825" s="11">
        <v>-6.745</v>
      </c>
      <c r="N825" s="11">
        <v>1264.512</v>
      </c>
      <c r="O825" s="11">
        <v>44415.213</v>
      </c>
      <c r="P825" s="11">
        <v>-9.794</v>
      </c>
      <c r="Q825" s="11">
        <v>1533.59</v>
      </c>
      <c r="R825" s="11">
        <v>-19.19</v>
      </c>
      <c r="S825" s="12">
        <v>0.89</v>
      </c>
      <c r="T825" s="14">
        <f t="shared" si="9"/>
        <v>1515.4</v>
      </c>
      <c r="U825" s="14">
        <f t="shared" si="2"/>
        <v>3.05</v>
      </c>
      <c r="V825" s="14">
        <f t="shared" si="3"/>
        <v>-1.889228904</v>
      </c>
      <c r="W825" s="15" t="str">
        <f t="shared" si="4"/>
        <v/>
      </c>
      <c r="X825" s="11">
        <f t="shared" si="5"/>
        <v>1513.898</v>
      </c>
      <c r="Y825" s="14">
        <f t="shared" si="6"/>
        <v>1.502</v>
      </c>
      <c r="Z825" s="25"/>
      <c r="AA825" s="21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</row>
    <row r="826">
      <c r="A826" s="21"/>
      <c r="B826" s="21"/>
      <c r="C826" s="21"/>
      <c r="D826" s="21"/>
      <c r="E826" s="21"/>
      <c r="F826" s="21" t="s">
        <v>33</v>
      </c>
      <c r="G826" s="21">
        <v>7606.0</v>
      </c>
      <c r="H826" s="26">
        <v>39.697661</v>
      </c>
      <c r="I826" s="26">
        <v>-112.869743</v>
      </c>
      <c r="J826" s="21">
        <v>1507.69</v>
      </c>
      <c r="K826" s="11">
        <v>3344.892</v>
      </c>
      <c r="L826" s="11">
        <v>44503.397</v>
      </c>
      <c r="M826" s="11">
        <v>-18.871</v>
      </c>
      <c r="N826" s="11">
        <v>3344.89</v>
      </c>
      <c r="O826" s="11">
        <v>44503.366</v>
      </c>
      <c r="P826" s="11">
        <v>-23.351</v>
      </c>
      <c r="Q826" s="11">
        <v>1521.4</v>
      </c>
      <c r="R826" s="11">
        <v>-19.19</v>
      </c>
      <c r="S826" s="12">
        <v>0.89</v>
      </c>
      <c r="T826" s="14">
        <f t="shared" si="9"/>
        <v>1503.21</v>
      </c>
      <c r="U826" s="14">
        <f t="shared" si="2"/>
        <v>4.48</v>
      </c>
      <c r="V826" s="14">
        <f t="shared" si="3"/>
        <v>-0.09056223776</v>
      </c>
      <c r="W826" s="15" t="str">
        <f t="shared" si="4"/>
        <v/>
      </c>
      <c r="X826" s="11">
        <f t="shared" si="5"/>
        <v>1503.138</v>
      </c>
      <c r="Y826" s="14">
        <f t="shared" si="6"/>
        <v>0.072</v>
      </c>
      <c r="Z826" s="25"/>
      <c r="AA826" s="21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</row>
    <row r="827">
      <c r="A827" s="21"/>
      <c r="B827" s="21"/>
      <c r="C827" s="21"/>
      <c r="D827" s="21"/>
      <c r="E827" s="21"/>
      <c r="F827" s="21" t="s">
        <v>33</v>
      </c>
      <c r="G827" s="21">
        <v>7607.0</v>
      </c>
      <c r="H827" s="26">
        <v>39.697669</v>
      </c>
      <c r="I827" s="26">
        <v>-112.845503</v>
      </c>
      <c r="J827" s="21">
        <v>1491.39</v>
      </c>
      <c r="K827" s="11">
        <v>5424.415</v>
      </c>
      <c r="L827" s="11">
        <v>44505.347</v>
      </c>
      <c r="M827" s="11">
        <v>-36.613</v>
      </c>
      <c r="N827" s="11">
        <v>5424.412</v>
      </c>
      <c r="O827" s="11">
        <v>44505.322</v>
      </c>
      <c r="P827" s="11">
        <v>-40.183</v>
      </c>
      <c r="Q827" s="11">
        <v>1506.0</v>
      </c>
      <c r="R827" s="11">
        <v>-19.18</v>
      </c>
      <c r="S827" s="12">
        <v>0.89</v>
      </c>
      <c r="T827" s="14">
        <f t="shared" si="9"/>
        <v>1487.82</v>
      </c>
      <c r="U827" s="14">
        <f t="shared" si="2"/>
        <v>3.57</v>
      </c>
      <c r="V827" s="14">
        <f t="shared" si="3"/>
        <v>-1.235168298</v>
      </c>
      <c r="W827" s="15" t="str">
        <f t="shared" si="4"/>
        <v/>
      </c>
      <c r="X827" s="11">
        <f t="shared" si="5"/>
        <v>1486.838</v>
      </c>
      <c r="Y827" s="14">
        <f t="shared" si="6"/>
        <v>0.982</v>
      </c>
      <c r="Z827" s="25"/>
      <c r="AA827" s="21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</row>
    <row r="828">
      <c r="A828" s="21"/>
      <c r="B828" s="21"/>
      <c r="C828" s="21"/>
      <c r="D828" s="21"/>
      <c r="E828" s="21"/>
      <c r="F828" s="21" t="s">
        <v>33</v>
      </c>
      <c r="G828" s="21">
        <v>7608.0</v>
      </c>
      <c r="H828" s="26">
        <v>39.698041</v>
      </c>
      <c r="I828" s="26">
        <v>-112.821251</v>
      </c>
      <c r="J828" s="21">
        <v>1478.61</v>
      </c>
      <c r="K828" s="11">
        <v>7504.92</v>
      </c>
      <c r="L828" s="11">
        <v>44548.302</v>
      </c>
      <c r="M828" s="11">
        <v>-51.799</v>
      </c>
      <c r="N828" s="11">
        <v>7504.915</v>
      </c>
      <c r="O828" s="11">
        <v>44548.274</v>
      </c>
      <c r="P828" s="11">
        <v>-55.669</v>
      </c>
      <c r="Q828" s="11">
        <v>1492.9</v>
      </c>
      <c r="R828" s="11">
        <v>-19.16</v>
      </c>
      <c r="S828" s="12">
        <v>0.89</v>
      </c>
      <c r="T828" s="14">
        <f t="shared" si="9"/>
        <v>1474.74</v>
      </c>
      <c r="U828" s="14">
        <f t="shared" si="2"/>
        <v>3.87</v>
      </c>
      <c r="V828" s="14">
        <f t="shared" si="3"/>
        <v>-0.857825641</v>
      </c>
      <c r="W828" s="15" t="str">
        <f t="shared" si="4"/>
        <v/>
      </c>
      <c r="X828" s="11">
        <f t="shared" si="5"/>
        <v>1474.058</v>
      </c>
      <c r="Y828" s="14">
        <f t="shared" si="6"/>
        <v>0.682</v>
      </c>
      <c r="Z828" s="25"/>
      <c r="AA828" s="21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</row>
    <row r="829">
      <c r="A829" s="21"/>
      <c r="B829" s="21"/>
      <c r="C829" s="21"/>
      <c r="D829" s="21"/>
      <c r="E829" s="21"/>
      <c r="F829" s="21" t="s">
        <v>33</v>
      </c>
      <c r="G829" s="21">
        <v>7609.0</v>
      </c>
      <c r="H829" s="26">
        <v>39.698421</v>
      </c>
      <c r="I829" s="26">
        <v>-112.796998</v>
      </c>
      <c r="J829" s="21">
        <v>1435.03</v>
      </c>
      <c r="K829" s="11">
        <v>9585.431</v>
      </c>
      <c r="L829" s="11">
        <v>44592.487</v>
      </c>
      <c r="M829" s="11">
        <v>-98.473</v>
      </c>
      <c r="N829" s="11">
        <v>9585.426</v>
      </c>
      <c r="O829" s="11">
        <v>44592.463</v>
      </c>
      <c r="P829" s="11">
        <v>-101.793</v>
      </c>
      <c r="Q829" s="11">
        <v>1449.84</v>
      </c>
      <c r="R829" s="11">
        <v>-19.13</v>
      </c>
      <c r="S829" s="12">
        <v>0.89</v>
      </c>
      <c r="T829" s="14">
        <f t="shared" si="9"/>
        <v>1431.71</v>
      </c>
      <c r="U829" s="14">
        <f t="shared" si="2"/>
        <v>3.32</v>
      </c>
      <c r="V829" s="14">
        <f t="shared" si="3"/>
        <v>-1.549620513</v>
      </c>
      <c r="W829" s="15" t="str">
        <f t="shared" si="4"/>
        <v/>
      </c>
      <c r="X829" s="11">
        <f t="shared" si="5"/>
        <v>1430.478</v>
      </c>
      <c r="Y829" s="14">
        <f t="shared" si="6"/>
        <v>1.232</v>
      </c>
      <c r="Z829" s="25"/>
      <c r="AA829" s="21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</row>
    <row r="830">
      <c r="A830" s="21"/>
      <c r="B830" s="21"/>
      <c r="C830" s="21"/>
      <c r="D830" s="21"/>
      <c r="E830" s="21"/>
      <c r="F830" s="21" t="s">
        <v>33</v>
      </c>
      <c r="G830" s="21">
        <v>7610.0</v>
      </c>
      <c r="H830" s="26">
        <v>39.698785</v>
      </c>
      <c r="I830" s="26">
        <v>-112.772731</v>
      </c>
      <c r="J830" s="21">
        <v>1404.04</v>
      </c>
      <c r="K830" s="11">
        <v>11667.116</v>
      </c>
      <c r="L830" s="11">
        <v>44635.542</v>
      </c>
      <c r="M830" s="11">
        <v>-133.228</v>
      </c>
      <c r="N830" s="11">
        <v>11667.11</v>
      </c>
      <c r="O830" s="11">
        <v>44635.52</v>
      </c>
      <c r="P830" s="11">
        <v>-136.428</v>
      </c>
      <c r="Q830" s="11">
        <v>1418.94</v>
      </c>
      <c r="R830" s="11">
        <v>-19.1</v>
      </c>
      <c r="S830" s="12">
        <v>0.89</v>
      </c>
      <c r="T830" s="14">
        <f t="shared" si="9"/>
        <v>1400.84</v>
      </c>
      <c r="U830" s="14">
        <f t="shared" si="2"/>
        <v>3.2</v>
      </c>
      <c r="V830" s="14">
        <f t="shared" si="3"/>
        <v>-1.700557576</v>
      </c>
      <c r="W830" s="15" t="str">
        <f t="shared" si="4"/>
        <v/>
      </c>
      <c r="X830" s="11">
        <f t="shared" si="5"/>
        <v>1399.488</v>
      </c>
      <c r="Y830" s="14">
        <f t="shared" si="6"/>
        <v>1.352</v>
      </c>
      <c r="Z830" s="25"/>
      <c r="AA830" s="21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</row>
    <row r="831">
      <c r="A831" s="21"/>
      <c r="B831" s="21"/>
      <c r="C831" s="21"/>
      <c r="D831" s="21"/>
      <c r="E831" s="21"/>
      <c r="F831" s="21" t="s">
        <v>33</v>
      </c>
      <c r="G831" s="21">
        <v>7611.0</v>
      </c>
      <c r="H831" s="26">
        <v>39.699171</v>
      </c>
      <c r="I831" s="26">
        <v>-112.748588</v>
      </c>
      <c r="J831" s="21">
        <v>1389.95</v>
      </c>
      <c r="K831" s="11">
        <v>13738.152</v>
      </c>
      <c r="L831" s="11">
        <v>44681.699</v>
      </c>
      <c r="M831" s="11">
        <v>-151.761</v>
      </c>
      <c r="N831" s="11">
        <v>13738.144</v>
      </c>
      <c r="O831" s="11">
        <v>44681.673</v>
      </c>
      <c r="P831" s="11">
        <v>-155.481</v>
      </c>
      <c r="Q831" s="11">
        <v>1404.3</v>
      </c>
      <c r="R831" s="11">
        <v>-19.07</v>
      </c>
      <c r="S831" s="12">
        <v>0.89</v>
      </c>
      <c r="T831" s="14">
        <f t="shared" si="9"/>
        <v>1386.23</v>
      </c>
      <c r="U831" s="14">
        <f t="shared" si="2"/>
        <v>3.72</v>
      </c>
      <c r="V831" s="14">
        <f t="shared" si="3"/>
        <v>-1.04649697</v>
      </c>
      <c r="W831" s="15" t="str">
        <f t="shared" si="4"/>
        <v/>
      </c>
      <c r="X831" s="11">
        <f t="shared" si="5"/>
        <v>1385.398</v>
      </c>
      <c r="Y831" s="14">
        <f t="shared" si="6"/>
        <v>0.832</v>
      </c>
      <c r="Z831" s="25"/>
      <c r="AA831" s="21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</row>
    <row r="832">
      <c r="A832" s="21"/>
      <c r="B832" s="21"/>
      <c r="C832" s="21"/>
      <c r="D832" s="21"/>
      <c r="E832" s="21"/>
      <c r="F832" s="21" t="s">
        <v>33</v>
      </c>
      <c r="G832" s="21">
        <v>7706.0</v>
      </c>
      <c r="H832" s="26">
        <v>39.712834</v>
      </c>
      <c r="I832" s="26">
        <v>-112.866141</v>
      </c>
      <c r="J832" s="21">
        <v>1534.29</v>
      </c>
      <c r="K832" s="11">
        <v>3653.121</v>
      </c>
      <c r="L832" s="11">
        <v>46188.729</v>
      </c>
      <c r="M832" s="11">
        <v>-4.451</v>
      </c>
      <c r="N832" s="11">
        <v>3653.119</v>
      </c>
      <c r="O832" s="11">
        <v>46188.708</v>
      </c>
      <c r="P832" s="11">
        <v>-7.351</v>
      </c>
      <c r="Q832" s="11">
        <v>1549.53</v>
      </c>
      <c r="R832" s="11">
        <v>-19.14</v>
      </c>
      <c r="S832" s="12">
        <v>0.89</v>
      </c>
      <c r="T832" s="14">
        <f t="shared" si="9"/>
        <v>1531.39</v>
      </c>
      <c r="U832" s="14">
        <f t="shared" si="2"/>
        <v>2.9</v>
      </c>
      <c r="V832" s="14">
        <f t="shared" si="3"/>
        <v>-2.077900233</v>
      </c>
      <c r="W832" s="15" t="str">
        <f t="shared" si="4"/>
        <v/>
      </c>
      <c r="X832" s="11">
        <f t="shared" si="5"/>
        <v>1529.738</v>
      </c>
      <c r="Y832" s="14">
        <f t="shared" si="6"/>
        <v>1.652</v>
      </c>
      <c r="Z832" s="25"/>
      <c r="AA832" s="21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</row>
    <row r="833">
      <c r="A833" s="21"/>
      <c r="B833" s="21"/>
      <c r="C833" s="21"/>
      <c r="D833" s="21"/>
      <c r="E833" s="21"/>
      <c r="F833" s="21" t="s">
        <v>33</v>
      </c>
      <c r="G833" s="21">
        <v>7707.0</v>
      </c>
      <c r="H833" s="26">
        <v>39.716552</v>
      </c>
      <c r="I833" s="26">
        <v>-112.84607</v>
      </c>
      <c r="J833" s="21">
        <v>1527.32</v>
      </c>
      <c r="K833" s="11">
        <v>5374.337</v>
      </c>
      <c r="L833" s="11">
        <v>46602.574</v>
      </c>
      <c r="M833" s="11">
        <v>-15.655</v>
      </c>
      <c r="N833" s="11">
        <v>5374.334</v>
      </c>
      <c r="O833" s="11">
        <v>46602.546</v>
      </c>
      <c r="P833" s="11">
        <v>-19.495</v>
      </c>
      <c r="Q833" s="11">
        <v>1541.6</v>
      </c>
      <c r="R833" s="11">
        <v>-19.12</v>
      </c>
      <c r="S833" s="12">
        <v>0.89</v>
      </c>
      <c r="T833" s="14">
        <f t="shared" si="9"/>
        <v>1523.48</v>
      </c>
      <c r="U833" s="14">
        <f t="shared" si="2"/>
        <v>3.84</v>
      </c>
      <c r="V833" s="14">
        <f t="shared" si="3"/>
        <v>-0.8955599068</v>
      </c>
      <c r="W833" s="15" t="str">
        <f t="shared" si="4"/>
        <v/>
      </c>
      <c r="X833" s="11">
        <f t="shared" si="5"/>
        <v>1522.768</v>
      </c>
      <c r="Y833" s="14">
        <f t="shared" si="6"/>
        <v>0.712</v>
      </c>
      <c r="Z833" s="25"/>
      <c r="AA833" s="21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</row>
    <row r="834">
      <c r="A834" s="21"/>
      <c r="B834" s="21"/>
      <c r="C834" s="21"/>
      <c r="D834" s="21"/>
      <c r="E834" s="21"/>
      <c r="F834" s="21" t="s">
        <v>33</v>
      </c>
      <c r="G834" s="21">
        <v>7708.0</v>
      </c>
      <c r="H834" s="26">
        <v>39.716774</v>
      </c>
      <c r="I834" s="26">
        <v>-112.821803</v>
      </c>
      <c r="J834" s="21">
        <v>1501.59</v>
      </c>
      <c r="K834" s="11">
        <v>7455.575</v>
      </c>
      <c r="L834" s="11">
        <v>46628.76</v>
      </c>
      <c r="M834" s="11">
        <v>-43.667</v>
      </c>
      <c r="N834" s="11">
        <v>7455.57</v>
      </c>
      <c r="O834" s="11">
        <v>46628.728</v>
      </c>
      <c r="P834" s="11">
        <v>-48.017</v>
      </c>
      <c r="Q834" s="11">
        <v>1515.35</v>
      </c>
      <c r="R834" s="11">
        <v>-19.11</v>
      </c>
      <c r="S834" s="12">
        <v>0.89</v>
      </c>
      <c r="T834" s="14">
        <f t="shared" si="9"/>
        <v>1497.24</v>
      </c>
      <c r="U834" s="14">
        <f t="shared" si="2"/>
        <v>4.35</v>
      </c>
      <c r="V834" s="14">
        <f t="shared" si="3"/>
        <v>-0.2540773893</v>
      </c>
      <c r="W834" s="15" t="str">
        <f t="shared" si="4"/>
        <v/>
      </c>
      <c r="X834" s="11">
        <f t="shared" si="5"/>
        <v>1497.038</v>
      </c>
      <c r="Y834" s="14">
        <f t="shared" si="6"/>
        <v>0.202</v>
      </c>
      <c r="Z834" s="25"/>
      <c r="AA834" s="21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</row>
    <row r="835">
      <c r="A835" s="21"/>
      <c r="B835" s="21"/>
      <c r="C835" s="21"/>
      <c r="D835" s="21"/>
      <c r="E835" s="21"/>
      <c r="F835" s="21" t="s">
        <v>33</v>
      </c>
      <c r="G835" s="21">
        <v>7709.0</v>
      </c>
      <c r="H835" s="26">
        <v>39.717104</v>
      </c>
      <c r="I835" s="26">
        <v>-112.7975</v>
      </c>
      <c r="J835" s="21">
        <v>1455.66</v>
      </c>
      <c r="K835" s="11">
        <v>9539.823</v>
      </c>
      <c r="L835" s="11">
        <v>46667.353</v>
      </c>
      <c r="M835" s="11">
        <v>-92.654</v>
      </c>
      <c r="N835" s="11">
        <v>9539.815</v>
      </c>
      <c r="O835" s="11">
        <v>46667.31</v>
      </c>
      <c r="P835" s="11">
        <v>-98.504</v>
      </c>
      <c r="Q835" s="11">
        <v>1467.9</v>
      </c>
      <c r="R835" s="11">
        <v>-19.09</v>
      </c>
      <c r="S835" s="12">
        <v>0.89</v>
      </c>
      <c r="T835" s="14">
        <f t="shared" si="9"/>
        <v>1449.81</v>
      </c>
      <c r="U835" s="14">
        <f t="shared" si="2"/>
        <v>5.85</v>
      </c>
      <c r="V835" s="14">
        <f t="shared" si="3"/>
        <v>1.632635897</v>
      </c>
      <c r="W835" s="15" t="str">
        <f t="shared" si="4"/>
        <v/>
      </c>
      <c r="X835" s="11">
        <f t="shared" si="5"/>
        <v>1451.108</v>
      </c>
      <c r="Y835" s="14">
        <f t="shared" si="6"/>
        <v>-1.298</v>
      </c>
      <c r="Z835" s="25"/>
      <c r="AA835" s="21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</row>
    <row r="836">
      <c r="A836" s="21"/>
      <c r="B836" s="21"/>
      <c r="C836" s="21"/>
      <c r="D836" s="21"/>
      <c r="E836" s="21"/>
      <c r="F836" s="21" t="s">
        <v>33</v>
      </c>
      <c r="G836" s="21">
        <v>7710.0</v>
      </c>
      <c r="H836" s="26">
        <v>39.717518</v>
      </c>
      <c r="I836" s="26">
        <v>-112.773062</v>
      </c>
      <c r="J836" s="21">
        <v>1415.13</v>
      </c>
      <c r="K836" s="11">
        <v>11635.594</v>
      </c>
      <c r="L836" s="11">
        <v>46715.891</v>
      </c>
      <c r="M836" s="11">
        <v>-137.015</v>
      </c>
      <c r="N836" s="11">
        <v>11635.582</v>
      </c>
      <c r="O836" s="11">
        <v>46715.843</v>
      </c>
      <c r="P836" s="11">
        <v>-143.495</v>
      </c>
      <c r="Q836" s="11">
        <v>1426.71</v>
      </c>
      <c r="R836" s="11">
        <v>-19.06</v>
      </c>
      <c r="S836" s="12">
        <v>0.89</v>
      </c>
      <c r="T836" s="14">
        <f t="shared" si="9"/>
        <v>1408.65</v>
      </c>
      <c r="U836" s="14">
        <f t="shared" si="2"/>
        <v>6.48</v>
      </c>
      <c r="V836" s="14">
        <f t="shared" si="3"/>
        <v>2.425055478</v>
      </c>
      <c r="W836" s="15" t="str">
        <f t="shared" si="4"/>
        <v/>
      </c>
      <c r="X836" s="11">
        <f t="shared" si="5"/>
        <v>1410.578</v>
      </c>
      <c r="Y836" s="14">
        <f t="shared" si="6"/>
        <v>-1.928</v>
      </c>
      <c r="Z836" s="25"/>
      <c r="AA836" s="21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</row>
    <row r="837">
      <c r="A837" s="21"/>
      <c r="B837" s="21"/>
      <c r="C837" s="21"/>
      <c r="D837" s="21"/>
      <c r="E837" s="21"/>
      <c r="F837" s="21" t="s">
        <v>33</v>
      </c>
      <c r="G837" s="21">
        <v>7808.0</v>
      </c>
      <c r="H837" s="26">
        <v>39.730534</v>
      </c>
      <c r="I837" s="26">
        <v>-112.819736</v>
      </c>
      <c r="J837" s="21">
        <v>1543.04</v>
      </c>
      <c r="K837" s="11">
        <v>7631.385</v>
      </c>
      <c r="L837" s="11">
        <v>48157.327</v>
      </c>
      <c r="M837" s="11">
        <v>-13.81</v>
      </c>
      <c r="N837" s="11">
        <v>7631.38</v>
      </c>
      <c r="O837" s="11">
        <v>48157.297</v>
      </c>
      <c r="P837" s="11">
        <v>-17.749</v>
      </c>
      <c r="Q837" s="11">
        <v>1557.16</v>
      </c>
      <c r="R837" s="11">
        <v>-19.06</v>
      </c>
      <c r="S837" s="12">
        <v>0.89</v>
      </c>
      <c r="T837" s="14">
        <f t="shared" si="9"/>
        <v>1539.1</v>
      </c>
      <c r="U837" s="14">
        <f t="shared" si="2"/>
        <v>3.94</v>
      </c>
      <c r="V837" s="14">
        <f t="shared" si="3"/>
        <v>-0.769779021</v>
      </c>
      <c r="W837" s="15" t="str">
        <f t="shared" si="4"/>
        <v/>
      </c>
      <c r="X837" s="11">
        <f t="shared" si="5"/>
        <v>1538.488</v>
      </c>
      <c r="Y837" s="14">
        <f t="shared" si="6"/>
        <v>0.612</v>
      </c>
      <c r="Z837" s="25"/>
      <c r="AA837" s="21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</row>
    <row r="838">
      <c r="A838" s="21"/>
      <c r="B838" s="21"/>
      <c r="C838" s="21"/>
      <c r="D838" s="21"/>
      <c r="E838" s="21"/>
      <c r="F838" s="21" t="s">
        <v>33</v>
      </c>
      <c r="G838" s="21">
        <v>7809.0</v>
      </c>
      <c r="H838" s="26">
        <v>39.735852</v>
      </c>
      <c r="I838" s="26">
        <v>-112.798065</v>
      </c>
      <c r="J838" s="21">
        <v>1517.15</v>
      </c>
      <c r="K838" s="11">
        <v>9488.887</v>
      </c>
      <c r="L838" s="11">
        <v>48749.76</v>
      </c>
      <c r="M838" s="11">
        <v>-46.701</v>
      </c>
      <c r="N838" s="11">
        <v>9488.88</v>
      </c>
      <c r="O838" s="11">
        <v>48749.722</v>
      </c>
      <c r="P838" s="11">
        <v>-51.691</v>
      </c>
      <c r="Q838" s="11">
        <v>1530.19</v>
      </c>
      <c r="R838" s="11">
        <v>-19.03</v>
      </c>
      <c r="S838" s="12">
        <v>0.89</v>
      </c>
      <c r="T838" s="14">
        <f t="shared" si="9"/>
        <v>1512.16</v>
      </c>
      <c r="U838" s="14">
        <f t="shared" si="2"/>
        <v>4.99</v>
      </c>
      <c r="V838" s="14">
        <f t="shared" si="3"/>
        <v>0.5509202797</v>
      </c>
      <c r="W838" s="15" t="str">
        <f t="shared" si="4"/>
        <v/>
      </c>
      <c r="X838" s="11">
        <f t="shared" si="5"/>
        <v>1512.598</v>
      </c>
      <c r="Y838" s="14">
        <f t="shared" si="6"/>
        <v>-0.438</v>
      </c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</row>
    <row r="839">
      <c r="A839" s="15"/>
      <c r="B839" s="15"/>
      <c r="C839" s="15"/>
      <c r="D839" s="15"/>
      <c r="E839" s="15"/>
      <c r="F839" s="15"/>
      <c r="G839" s="15"/>
      <c r="H839" s="30"/>
      <c r="I839" s="30"/>
      <c r="J839" s="15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5"/>
      <c r="V839" s="14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</row>
    <row r="840">
      <c r="A840" s="15"/>
      <c r="B840" s="15"/>
      <c r="C840" s="15"/>
      <c r="D840" s="15"/>
      <c r="E840" s="15"/>
      <c r="F840" s="15"/>
      <c r="G840" s="15"/>
      <c r="H840" s="30"/>
      <c r="I840" s="30"/>
      <c r="J840" s="15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5"/>
      <c r="V840" s="14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</row>
    <row r="841">
      <c r="A841" s="15"/>
      <c r="B841" s="15"/>
      <c r="C841" s="15"/>
      <c r="D841" s="15"/>
      <c r="E841" s="15"/>
      <c r="F841" s="15"/>
      <c r="G841" s="15"/>
      <c r="H841" s="30"/>
      <c r="I841" s="30"/>
      <c r="J841" s="15"/>
      <c r="K841" s="14"/>
      <c r="L841" s="14"/>
      <c r="M841" s="14"/>
      <c r="N841" s="14"/>
      <c r="O841" s="14"/>
      <c r="P841" s="14"/>
      <c r="Q841" s="14"/>
      <c r="R841" s="14"/>
      <c r="V841" s="14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</row>
    <row r="842">
      <c r="A842" s="15"/>
      <c r="B842" s="15"/>
      <c r="C842" s="15"/>
      <c r="D842" s="15"/>
      <c r="E842" s="15"/>
      <c r="F842" s="15"/>
      <c r="G842" s="15"/>
      <c r="H842" s="30"/>
      <c r="I842" s="30"/>
      <c r="J842" s="15"/>
      <c r="K842" s="14"/>
      <c r="L842" s="14"/>
      <c r="M842" s="14"/>
      <c r="N842" s="14"/>
      <c r="O842" s="14"/>
      <c r="P842" s="14"/>
      <c r="Q842" s="14"/>
      <c r="R842" s="14"/>
      <c r="V842" s="14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</row>
    <row r="843">
      <c r="A843" s="15"/>
      <c r="B843" s="15"/>
      <c r="C843" s="15"/>
      <c r="D843" s="15"/>
      <c r="E843" s="15"/>
      <c r="F843" s="15"/>
      <c r="G843" s="15"/>
      <c r="H843" s="30"/>
      <c r="I843" s="30"/>
      <c r="J843" s="15"/>
      <c r="K843" s="14"/>
      <c r="L843" s="14"/>
      <c r="M843" s="14"/>
      <c r="N843" s="14"/>
      <c r="O843" s="14"/>
      <c r="P843" s="14"/>
      <c r="Q843" s="14"/>
      <c r="R843" s="14"/>
      <c r="V843" s="14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</row>
    <row r="844">
      <c r="A844" s="15"/>
      <c r="B844" s="15"/>
      <c r="C844" s="15"/>
      <c r="D844" s="15"/>
      <c r="E844" s="15"/>
      <c r="F844" s="15"/>
      <c r="G844" s="15"/>
      <c r="H844" s="30"/>
      <c r="I844" s="30"/>
      <c r="J844" s="15"/>
      <c r="K844" s="14"/>
      <c r="L844" s="14"/>
      <c r="M844" s="14"/>
      <c r="N844" s="14"/>
      <c r="O844" s="14"/>
      <c r="P844" s="14"/>
      <c r="Q844" s="14"/>
      <c r="R844" s="14"/>
      <c r="V844" s="14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</row>
    <row r="845">
      <c r="A845" s="15"/>
      <c r="B845" s="15"/>
      <c r="C845" s="15"/>
      <c r="D845" s="15"/>
      <c r="E845" s="15"/>
      <c r="F845" s="15"/>
      <c r="G845" s="15"/>
      <c r="H845" s="30"/>
      <c r="I845" s="30"/>
      <c r="J845" s="15"/>
      <c r="K845" s="14"/>
      <c r="L845" s="14"/>
      <c r="M845" s="14"/>
      <c r="N845" s="14"/>
      <c r="O845" s="14"/>
      <c r="P845" s="14"/>
      <c r="Q845" s="14"/>
      <c r="R845" s="14"/>
      <c r="V845" s="14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</row>
    <row r="846">
      <c r="A846" s="15"/>
      <c r="B846" s="15"/>
      <c r="C846" s="15"/>
      <c r="D846" s="15"/>
      <c r="E846" s="15"/>
      <c r="F846" s="15"/>
      <c r="G846" s="15"/>
      <c r="H846" s="30"/>
      <c r="I846" s="30"/>
      <c r="J846" s="15"/>
      <c r="K846" s="14"/>
      <c r="L846" s="14"/>
      <c r="M846" s="14"/>
      <c r="N846" s="14"/>
      <c r="O846" s="14"/>
      <c r="P846" s="14"/>
      <c r="Q846" s="14"/>
      <c r="R846" s="14"/>
      <c r="V846" s="14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</row>
    <row r="847">
      <c r="A847" s="15"/>
      <c r="B847" s="15"/>
      <c r="C847" s="15"/>
      <c r="D847" s="15"/>
      <c r="E847" s="15"/>
      <c r="F847" s="15"/>
      <c r="G847" s="15"/>
      <c r="H847" s="30"/>
      <c r="I847" s="30"/>
      <c r="J847" s="15"/>
      <c r="K847" s="14"/>
      <c r="L847" s="14"/>
      <c r="M847" s="14"/>
      <c r="N847" s="14"/>
      <c r="O847" s="14"/>
      <c r="P847" s="14"/>
      <c r="Q847" s="14"/>
      <c r="R847" s="14"/>
      <c r="V847" s="14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</row>
    <row r="848">
      <c r="A848" s="15"/>
      <c r="B848" s="15"/>
      <c r="C848" s="15"/>
      <c r="D848" s="15"/>
      <c r="E848" s="15"/>
      <c r="F848" s="15"/>
      <c r="G848" s="15"/>
      <c r="H848" s="30"/>
      <c r="I848" s="30"/>
      <c r="J848" s="15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5"/>
      <c r="V848" s="14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</row>
    <row r="849">
      <c r="A849" s="15"/>
      <c r="B849" s="15"/>
      <c r="C849" s="15"/>
      <c r="D849" s="15"/>
      <c r="E849" s="15"/>
      <c r="F849" s="15"/>
      <c r="G849" s="15"/>
      <c r="H849" s="30"/>
      <c r="I849" s="30"/>
      <c r="J849" s="15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5"/>
      <c r="V849" s="14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</row>
    <row r="850">
      <c r="A850" s="15"/>
      <c r="B850" s="15"/>
      <c r="C850" s="15"/>
      <c r="D850" s="15"/>
      <c r="E850" s="15"/>
      <c r="F850" s="15"/>
      <c r="G850" s="15"/>
      <c r="H850" s="30"/>
      <c r="I850" s="30"/>
      <c r="J850" s="15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5"/>
      <c r="V850" s="14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</row>
    <row r="851">
      <c r="A851" s="15"/>
      <c r="B851" s="15"/>
      <c r="C851" s="15"/>
      <c r="D851" s="15"/>
      <c r="E851" s="15"/>
      <c r="F851" s="15"/>
      <c r="G851" s="15"/>
      <c r="H851" s="30"/>
      <c r="I851" s="30"/>
      <c r="J851" s="15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5"/>
      <c r="V851" s="14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</row>
    <row r="852">
      <c r="A852" s="15"/>
      <c r="B852" s="15"/>
      <c r="C852" s="15"/>
      <c r="D852" s="15"/>
      <c r="E852" s="15"/>
      <c r="F852" s="15"/>
      <c r="G852" s="15"/>
      <c r="H852" s="30"/>
      <c r="I852" s="30"/>
      <c r="J852" s="15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5"/>
      <c r="V852" s="14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</row>
    <row r="853">
      <c r="A853" s="15"/>
      <c r="B853" s="15"/>
      <c r="C853" s="15"/>
      <c r="D853" s="15"/>
      <c r="E853" s="15"/>
      <c r="F853" s="15"/>
      <c r="G853" s="15"/>
      <c r="H853" s="30"/>
      <c r="I853" s="30"/>
      <c r="J853" s="15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5"/>
      <c r="V853" s="14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</row>
    <row r="854">
      <c r="A854" s="15"/>
      <c r="B854" s="15"/>
      <c r="C854" s="15"/>
      <c r="D854" s="15"/>
      <c r="E854" s="15"/>
      <c r="F854" s="15"/>
      <c r="G854" s="15"/>
      <c r="H854" s="30"/>
      <c r="I854" s="30"/>
      <c r="J854" s="15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5"/>
      <c r="V854" s="14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</row>
    <row r="855">
      <c r="A855" s="15"/>
      <c r="B855" s="15"/>
      <c r="C855" s="15"/>
      <c r="D855" s="15"/>
      <c r="E855" s="15"/>
      <c r="F855" s="15"/>
      <c r="G855" s="15"/>
      <c r="H855" s="30"/>
      <c r="I855" s="30"/>
      <c r="J855" s="15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5"/>
      <c r="V855" s="14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</row>
    <row r="856">
      <c r="A856" s="15"/>
      <c r="B856" s="15"/>
      <c r="C856" s="15"/>
      <c r="D856" s="15"/>
      <c r="E856" s="15"/>
      <c r="F856" s="15"/>
      <c r="G856" s="15"/>
      <c r="H856" s="30"/>
      <c r="I856" s="30"/>
      <c r="J856" s="15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5"/>
      <c r="V856" s="14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</row>
    <row r="857">
      <c r="A857" s="15"/>
      <c r="B857" s="15"/>
      <c r="C857" s="15"/>
      <c r="D857" s="15"/>
      <c r="E857" s="15"/>
      <c r="F857" s="15"/>
      <c r="G857" s="15"/>
      <c r="H857" s="30"/>
      <c r="I857" s="30"/>
      <c r="J857" s="15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5"/>
      <c r="V857" s="14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</row>
    <row r="858">
      <c r="A858" s="15"/>
      <c r="B858" s="15"/>
      <c r="C858" s="15"/>
      <c r="D858" s="15"/>
      <c r="E858" s="15"/>
      <c r="F858" s="15"/>
      <c r="G858" s="15"/>
      <c r="H858" s="30"/>
      <c r="I858" s="30"/>
      <c r="J858" s="15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5"/>
      <c r="V858" s="14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</row>
    <row r="859">
      <c r="A859" s="15"/>
      <c r="B859" s="15"/>
      <c r="C859" s="15"/>
      <c r="D859" s="15"/>
      <c r="E859" s="15"/>
      <c r="F859" s="15"/>
      <c r="G859" s="15"/>
      <c r="H859" s="30"/>
      <c r="I859" s="30"/>
      <c r="J859" s="15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5"/>
      <c r="V859" s="14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</row>
    <row r="860">
      <c r="A860" s="15"/>
      <c r="B860" s="15"/>
      <c r="C860" s="15"/>
      <c r="D860" s="15"/>
      <c r="E860" s="15"/>
      <c r="F860" s="15"/>
      <c r="G860" s="15"/>
      <c r="H860" s="30"/>
      <c r="I860" s="30"/>
      <c r="J860" s="15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5"/>
      <c r="V860" s="14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</row>
    <row r="861">
      <c r="A861" s="15"/>
      <c r="B861" s="15"/>
      <c r="C861" s="15"/>
      <c r="D861" s="15"/>
      <c r="E861" s="15"/>
      <c r="F861" s="15"/>
      <c r="G861" s="15"/>
      <c r="H861" s="30"/>
      <c r="I861" s="30"/>
      <c r="J861" s="15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5"/>
      <c r="V861" s="14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</row>
    <row r="862">
      <c r="A862" s="15"/>
      <c r="B862" s="15"/>
      <c r="C862" s="15"/>
      <c r="D862" s="15"/>
      <c r="E862" s="15"/>
      <c r="F862" s="15"/>
      <c r="G862" s="15"/>
      <c r="H862" s="30"/>
      <c r="I862" s="30"/>
      <c r="J862" s="15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5"/>
      <c r="V862" s="14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</row>
    <row r="863">
      <c r="A863" s="15"/>
      <c r="B863" s="15"/>
      <c r="C863" s="15"/>
      <c r="D863" s="15"/>
      <c r="E863" s="15"/>
      <c r="F863" s="15"/>
      <c r="G863" s="15"/>
      <c r="H863" s="30"/>
      <c r="I863" s="30"/>
      <c r="J863" s="15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5"/>
      <c r="V863" s="14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</row>
    <row r="864">
      <c r="A864" s="15"/>
      <c r="B864" s="15"/>
      <c r="C864" s="15"/>
      <c r="D864" s="15"/>
      <c r="E864" s="15"/>
      <c r="F864" s="15"/>
      <c r="G864" s="15"/>
      <c r="H864" s="30"/>
      <c r="I864" s="30"/>
      <c r="J864" s="15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5"/>
      <c r="V864" s="14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</row>
    <row r="865">
      <c r="A865" s="15"/>
      <c r="B865" s="15"/>
      <c r="C865" s="15"/>
      <c r="D865" s="15"/>
      <c r="E865" s="15"/>
      <c r="F865" s="15"/>
      <c r="G865" s="15"/>
      <c r="H865" s="30"/>
      <c r="I865" s="30"/>
      <c r="J865" s="15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5"/>
      <c r="V865" s="14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</row>
    <row r="866">
      <c r="A866" s="15"/>
      <c r="B866" s="15"/>
      <c r="C866" s="15"/>
      <c r="D866" s="15"/>
      <c r="E866" s="15"/>
      <c r="F866" s="15"/>
      <c r="G866" s="15"/>
      <c r="H866" s="30"/>
      <c r="I866" s="30"/>
      <c r="J866" s="15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5"/>
      <c r="V866" s="14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</row>
    <row r="867">
      <c r="A867" s="15"/>
      <c r="B867" s="15"/>
      <c r="C867" s="15"/>
      <c r="D867" s="15"/>
      <c r="E867" s="15"/>
      <c r="F867" s="15"/>
      <c r="G867" s="15"/>
      <c r="H867" s="30"/>
      <c r="I867" s="30"/>
      <c r="J867" s="15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5"/>
      <c r="V867" s="14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</row>
    <row r="868">
      <c r="A868" s="15"/>
      <c r="B868" s="15"/>
      <c r="C868" s="15"/>
      <c r="D868" s="15"/>
      <c r="E868" s="15"/>
      <c r="F868" s="15"/>
      <c r="G868" s="15"/>
      <c r="H868" s="30"/>
      <c r="I868" s="30"/>
      <c r="J868" s="15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5"/>
      <c r="V868" s="14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</row>
    <row r="869">
      <c r="A869" s="15"/>
      <c r="B869" s="15"/>
      <c r="C869" s="15"/>
      <c r="D869" s="15"/>
      <c r="E869" s="15"/>
      <c r="F869" s="15"/>
      <c r="G869" s="15"/>
      <c r="H869" s="30"/>
      <c r="I869" s="30"/>
      <c r="J869" s="15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5"/>
      <c r="V869" s="14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</row>
    <row r="870">
      <c r="A870" s="15"/>
      <c r="B870" s="15"/>
      <c r="C870" s="15"/>
      <c r="D870" s="15"/>
      <c r="E870" s="15"/>
      <c r="F870" s="15"/>
      <c r="G870" s="15"/>
      <c r="H870" s="30"/>
      <c r="I870" s="30"/>
      <c r="J870" s="15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5"/>
      <c r="V870" s="14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</row>
    <row r="871">
      <c r="A871" s="15"/>
      <c r="B871" s="15"/>
      <c r="C871" s="15"/>
      <c r="D871" s="15"/>
      <c r="E871" s="15"/>
      <c r="F871" s="15"/>
      <c r="G871" s="15"/>
      <c r="H871" s="30"/>
      <c r="I871" s="30"/>
      <c r="J871" s="15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5"/>
      <c r="V871" s="14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</row>
    <row r="872">
      <c r="A872" s="15"/>
      <c r="B872" s="15"/>
      <c r="C872" s="15"/>
      <c r="D872" s="15"/>
      <c r="E872" s="15"/>
      <c r="F872" s="15"/>
      <c r="G872" s="15"/>
      <c r="H872" s="30"/>
      <c r="I872" s="30"/>
      <c r="J872" s="15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5"/>
      <c r="V872" s="14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</row>
    <row r="873">
      <c r="A873" s="15"/>
      <c r="B873" s="15"/>
      <c r="C873" s="15"/>
      <c r="D873" s="15"/>
      <c r="E873" s="15"/>
      <c r="F873" s="15"/>
      <c r="G873" s="15"/>
      <c r="H873" s="30"/>
      <c r="I873" s="30"/>
      <c r="J873" s="15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5"/>
      <c r="V873" s="14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</row>
    <row r="874">
      <c r="A874" s="15"/>
      <c r="B874" s="15"/>
      <c r="C874" s="15"/>
      <c r="D874" s="15"/>
      <c r="E874" s="15"/>
      <c r="F874" s="15"/>
      <c r="G874" s="15"/>
      <c r="H874" s="30"/>
      <c r="I874" s="30"/>
      <c r="J874" s="15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5"/>
      <c r="V874" s="14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</row>
    <row r="875">
      <c r="A875" s="15"/>
      <c r="B875" s="15"/>
      <c r="C875" s="15"/>
      <c r="D875" s="15"/>
      <c r="E875" s="15"/>
      <c r="F875" s="15"/>
      <c r="G875" s="15"/>
      <c r="H875" s="30"/>
      <c r="I875" s="30"/>
      <c r="J875" s="15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5"/>
      <c r="V875" s="14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</row>
    <row r="876">
      <c r="A876" s="15"/>
      <c r="B876" s="15"/>
      <c r="C876" s="15"/>
      <c r="D876" s="15"/>
      <c r="E876" s="15"/>
      <c r="F876" s="15"/>
      <c r="G876" s="15"/>
      <c r="H876" s="30"/>
      <c r="I876" s="30"/>
      <c r="J876" s="15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5"/>
      <c r="V876" s="14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</row>
    <row r="877">
      <c r="A877" s="15"/>
      <c r="B877" s="15"/>
      <c r="C877" s="15"/>
      <c r="D877" s="15"/>
      <c r="E877" s="15"/>
      <c r="F877" s="15"/>
      <c r="G877" s="15"/>
      <c r="H877" s="30"/>
      <c r="I877" s="30"/>
      <c r="J877" s="15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5"/>
      <c r="V877" s="14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</row>
    <row r="878">
      <c r="A878" s="15"/>
      <c r="B878" s="15"/>
      <c r="C878" s="15"/>
      <c r="D878" s="15"/>
      <c r="E878" s="15"/>
      <c r="F878" s="15"/>
      <c r="G878" s="15"/>
      <c r="H878" s="30"/>
      <c r="I878" s="30"/>
      <c r="J878" s="15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5"/>
      <c r="V878" s="14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</row>
    <row r="879">
      <c r="A879" s="15"/>
      <c r="B879" s="15"/>
      <c r="C879" s="15"/>
      <c r="D879" s="15"/>
      <c r="E879" s="15"/>
      <c r="F879" s="15"/>
      <c r="G879" s="15"/>
      <c r="H879" s="30"/>
      <c r="I879" s="30"/>
      <c r="J879" s="15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5"/>
      <c r="V879" s="14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</row>
    <row r="880">
      <c r="A880" s="15"/>
      <c r="B880" s="15"/>
      <c r="C880" s="15"/>
      <c r="D880" s="15"/>
      <c r="E880" s="15"/>
      <c r="F880" s="15"/>
      <c r="G880" s="15"/>
      <c r="H880" s="30"/>
      <c r="I880" s="30"/>
      <c r="J880" s="15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5"/>
      <c r="V880" s="14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</row>
    <row r="881">
      <c r="A881" s="15"/>
      <c r="B881" s="15"/>
      <c r="C881" s="15"/>
      <c r="D881" s="15"/>
      <c r="E881" s="15"/>
      <c r="F881" s="15"/>
      <c r="G881" s="15"/>
      <c r="H881" s="30"/>
      <c r="I881" s="30"/>
      <c r="J881" s="15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5"/>
      <c r="V881" s="14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</row>
    <row r="882">
      <c r="A882" s="15"/>
      <c r="B882" s="15"/>
      <c r="C882" s="15"/>
      <c r="D882" s="15"/>
      <c r="E882" s="15"/>
      <c r="F882" s="15"/>
      <c r="G882" s="15"/>
      <c r="H882" s="30"/>
      <c r="I882" s="30"/>
      <c r="J882" s="15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5"/>
      <c r="V882" s="14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</row>
    <row r="883">
      <c r="A883" s="15"/>
      <c r="B883" s="15"/>
      <c r="C883" s="15"/>
      <c r="D883" s="15"/>
      <c r="E883" s="15"/>
      <c r="F883" s="15"/>
      <c r="G883" s="15"/>
      <c r="H883" s="30"/>
      <c r="I883" s="30"/>
      <c r="J883" s="15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5"/>
      <c r="V883" s="14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</row>
    <row r="884">
      <c r="A884" s="15"/>
      <c r="B884" s="15"/>
      <c r="C884" s="15"/>
      <c r="D884" s="15"/>
      <c r="E884" s="15"/>
      <c r="F884" s="15"/>
      <c r="G884" s="15"/>
      <c r="H884" s="30"/>
      <c r="I884" s="30"/>
      <c r="J884" s="15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5"/>
      <c r="V884" s="14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</row>
    <row r="885">
      <c r="A885" s="15"/>
      <c r="B885" s="15"/>
      <c r="C885" s="15"/>
      <c r="D885" s="15"/>
      <c r="E885" s="15"/>
      <c r="F885" s="15"/>
      <c r="G885" s="15"/>
      <c r="H885" s="30"/>
      <c r="I885" s="30"/>
      <c r="J885" s="15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5"/>
      <c r="V885" s="14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</row>
    <row r="886">
      <c r="A886" s="15"/>
      <c r="B886" s="15"/>
      <c r="C886" s="15"/>
      <c r="D886" s="15"/>
      <c r="E886" s="15"/>
      <c r="F886" s="15"/>
      <c r="G886" s="15"/>
      <c r="H886" s="30"/>
      <c r="I886" s="30"/>
      <c r="J886" s="15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5"/>
      <c r="V886" s="14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</row>
    <row r="887">
      <c r="A887" s="15"/>
      <c r="B887" s="15"/>
      <c r="C887" s="15"/>
      <c r="D887" s="15"/>
      <c r="E887" s="15"/>
      <c r="F887" s="15"/>
      <c r="G887" s="15"/>
      <c r="H887" s="30"/>
      <c r="I887" s="30"/>
      <c r="J887" s="15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5"/>
      <c r="V887" s="14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</row>
    <row r="888">
      <c r="A888" s="15"/>
      <c r="B888" s="15"/>
      <c r="C888" s="15"/>
      <c r="D888" s="15"/>
      <c r="E888" s="15"/>
      <c r="F888" s="15"/>
      <c r="G888" s="15"/>
      <c r="H888" s="30"/>
      <c r="I888" s="30"/>
      <c r="J888" s="15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5"/>
      <c r="V888" s="14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</row>
    <row r="889">
      <c r="A889" s="15"/>
      <c r="B889" s="15"/>
      <c r="C889" s="15"/>
      <c r="D889" s="15"/>
      <c r="E889" s="15"/>
      <c r="F889" s="15"/>
      <c r="G889" s="15"/>
      <c r="H889" s="30"/>
      <c r="I889" s="30"/>
      <c r="J889" s="15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5"/>
      <c r="V889" s="14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</row>
    <row r="890">
      <c r="A890" s="15"/>
      <c r="B890" s="15"/>
      <c r="C890" s="15"/>
      <c r="D890" s="15"/>
      <c r="E890" s="15"/>
      <c r="F890" s="15"/>
      <c r="G890" s="15"/>
      <c r="H890" s="30"/>
      <c r="I890" s="30"/>
      <c r="J890" s="15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5"/>
      <c r="V890" s="14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</row>
    <row r="891">
      <c r="A891" s="15"/>
      <c r="B891" s="15"/>
      <c r="C891" s="15"/>
      <c r="D891" s="15"/>
      <c r="E891" s="15"/>
      <c r="F891" s="15"/>
      <c r="G891" s="15"/>
      <c r="H891" s="30"/>
      <c r="I891" s="30"/>
      <c r="J891" s="15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5"/>
      <c r="V891" s="14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</row>
    <row r="892">
      <c r="A892" s="15"/>
      <c r="B892" s="15"/>
      <c r="C892" s="15"/>
      <c r="D892" s="15"/>
      <c r="E892" s="15"/>
      <c r="F892" s="15"/>
      <c r="G892" s="15"/>
      <c r="H892" s="30"/>
      <c r="I892" s="30"/>
      <c r="J892" s="15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5"/>
      <c r="V892" s="14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</row>
    <row r="893">
      <c r="A893" s="15"/>
      <c r="B893" s="15"/>
      <c r="C893" s="15"/>
      <c r="D893" s="15"/>
      <c r="E893" s="15"/>
      <c r="F893" s="15"/>
      <c r="G893" s="15"/>
      <c r="H893" s="30"/>
      <c r="I893" s="30"/>
      <c r="J893" s="15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5"/>
      <c r="V893" s="14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</row>
    <row r="894">
      <c r="A894" s="15"/>
      <c r="B894" s="15"/>
      <c r="C894" s="15"/>
      <c r="D894" s="15"/>
      <c r="E894" s="15"/>
      <c r="F894" s="15"/>
      <c r="G894" s="15"/>
      <c r="H894" s="30"/>
      <c r="I894" s="30"/>
      <c r="J894" s="15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5"/>
      <c r="V894" s="14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</row>
    <row r="895">
      <c r="A895" s="15"/>
      <c r="B895" s="15"/>
      <c r="C895" s="15"/>
      <c r="D895" s="15"/>
      <c r="E895" s="15"/>
      <c r="F895" s="15"/>
      <c r="G895" s="15"/>
      <c r="H895" s="30"/>
      <c r="I895" s="30"/>
      <c r="J895" s="15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5"/>
      <c r="V895" s="14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</row>
    <row r="896">
      <c r="A896" s="15"/>
      <c r="B896" s="15"/>
      <c r="C896" s="15"/>
      <c r="D896" s="15"/>
      <c r="E896" s="15"/>
      <c r="F896" s="15"/>
      <c r="G896" s="15"/>
      <c r="H896" s="30"/>
      <c r="I896" s="30"/>
      <c r="J896" s="15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5"/>
      <c r="V896" s="14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</row>
    <row r="897">
      <c r="A897" s="15"/>
      <c r="B897" s="15"/>
      <c r="C897" s="15"/>
      <c r="D897" s="15"/>
      <c r="E897" s="15"/>
      <c r="F897" s="15"/>
      <c r="G897" s="15"/>
      <c r="H897" s="30"/>
      <c r="I897" s="30"/>
      <c r="J897" s="15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5"/>
      <c r="V897" s="14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</row>
    <row r="898">
      <c r="A898" s="15"/>
      <c r="B898" s="15"/>
      <c r="C898" s="15"/>
      <c r="D898" s="15"/>
      <c r="E898" s="15"/>
      <c r="F898" s="15"/>
      <c r="G898" s="15"/>
      <c r="H898" s="30"/>
      <c r="I898" s="30"/>
      <c r="J898" s="15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5"/>
      <c r="V898" s="14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</row>
    <row r="899">
      <c r="A899" s="15"/>
      <c r="B899" s="15"/>
      <c r="C899" s="15"/>
      <c r="D899" s="15"/>
      <c r="E899" s="15"/>
      <c r="F899" s="15"/>
      <c r="G899" s="15"/>
      <c r="H899" s="30"/>
      <c r="I899" s="30"/>
      <c r="J899" s="15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5"/>
      <c r="V899" s="14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</row>
    <row r="900">
      <c r="A900" s="15"/>
      <c r="B900" s="15"/>
      <c r="C900" s="15"/>
      <c r="D900" s="15"/>
      <c r="E900" s="15"/>
      <c r="F900" s="15"/>
      <c r="G900" s="15"/>
      <c r="H900" s="30"/>
      <c r="I900" s="30"/>
      <c r="J900" s="15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5"/>
      <c r="V900" s="14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</row>
    <row r="901">
      <c r="A901" s="15"/>
      <c r="B901" s="15"/>
      <c r="C901" s="15"/>
      <c r="D901" s="15"/>
      <c r="E901" s="15"/>
      <c r="F901" s="15"/>
      <c r="G901" s="15"/>
      <c r="H901" s="30"/>
      <c r="I901" s="30"/>
      <c r="J901" s="15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5"/>
      <c r="V901" s="14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</row>
    <row r="902">
      <c r="A902" s="15"/>
      <c r="B902" s="15"/>
      <c r="C902" s="15"/>
      <c r="D902" s="15"/>
      <c r="E902" s="15"/>
      <c r="F902" s="15"/>
      <c r="G902" s="15"/>
      <c r="H902" s="30"/>
      <c r="I902" s="30"/>
      <c r="J902" s="15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5"/>
      <c r="V902" s="14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</row>
    <row r="903">
      <c r="A903" s="15"/>
      <c r="B903" s="15"/>
      <c r="C903" s="15"/>
      <c r="D903" s="15"/>
      <c r="E903" s="15"/>
      <c r="F903" s="15"/>
      <c r="G903" s="15"/>
      <c r="H903" s="30"/>
      <c r="I903" s="30"/>
      <c r="J903" s="15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5"/>
      <c r="V903" s="14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</row>
    <row r="904">
      <c r="A904" s="15"/>
      <c r="B904" s="15"/>
      <c r="C904" s="15"/>
      <c r="D904" s="15"/>
      <c r="E904" s="15"/>
      <c r="F904" s="15"/>
      <c r="G904" s="15"/>
      <c r="H904" s="30"/>
      <c r="I904" s="30"/>
      <c r="J904" s="15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5"/>
      <c r="V904" s="14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</row>
    <row r="905">
      <c r="A905" s="15"/>
      <c r="B905" s="15"/>
      <c r="C905" s="15"/>
      <c r="D905" s="15"/>
      <c r="E905" s="15"/>
      <c r="F905" s="15"/>
      <c r="G905" s="15"/>
      <c r="H905" s="30"/>
      <c r="I905" s="30"/>
      <c r="J905" s="15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5"/>
      <c r="V905" s="14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</row>
    <row r="906">
      <c r="A906" s="15"/>
      <c r="B906" s="15"/>
      <c r="C906" s="15"/>
      <c r="D906" s="15"/>
      <c r="E906" s="15"/>
      <c r="F906" s="15"/>
      <c r="G906" s="15"/>
      <c r="H906" s="30"/>
      <c r="I906" s="30"/>
      <c r="J906" s="15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5"/>
      <c r="V906" s="14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</row>
    <row r="907">
      <c r="A907" s="15"/>
      <c r="B907" s="15"/>
      <c r="C907" s="15"/>
      <c r="D907" s="15"/>
      <c r="E907" s="15"/>
      <c r="F907" s="15"/>
      <c r="G907" s="15"/>
      <c r="H907" s="30"/>
      <c r="I907" s="30"/>
      <c r="J907" s="15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5"/>
      <c r="V907" s="14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</row>
    <row r="908">
      <c r="A908" s="15"/>
      <c r="B908" s="15"/>
      <c r="C908" s="15"/>
      <c r="D908" s="15"/>
      <c r="E908" s="15"/>
      <c r="F908" s="15"/>
      <c r="G908" s="15"/>
      <c r="H908" s="30"/>
      <c r="I908" s="30"/>
      <c r="J908" s="15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5"/>
      <c r="V908" s="14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</row>
    <row r="909">
      <c r="A909" s="15"/>
      <c r="B909" s="15"/>
      <c r="C909" s="15"/>
      <c r="D909" s="15"/>
      <c r="E909" s="15"/>
      <c r="F909" s="15"/>
      <c r="G909" s="15"/>
      <c r="H909" s="30"/>
      <c r="I909" s="30"/>
      <c r="J909" s="15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5"/>
      <c r="V909" s="14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</row>
    <row r="910">
      <c r="A910" s="15"/>
      <c r="B910" s="15"/>
      <c r="C910" s="15"/>
      <c r="D910" s="15"/>
      <c r="E910" s="15"/>
      <c r="F910" s="15"/>
      <c r="G910" s="15"/>
      <c r="H910" s="30"/>
      <c r="I910" s="30"/>
      <c r="J910" s="15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5"/>
      <c r="V910" s="14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</row>
    <row r="911">
      <c r="A911" s="15"/>
      <c r="B911" s="15"/>
      <c r="C911" s="15"/>
      <c r="D911" s="15"/>
      <c r="E911" s="15"/>
      <c r="F911" s="15"/>
      <c r="G911" s="15"/>
      <c r="H911" s="30"/>
      <c r="I911" s="30"/>
      <c r="J911" s="15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5"/>
      <c r="V911" s="14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</row>
    <row r="912">
      <c r="A912" s="15"/>
      <c r="B912" s="15"/>
      <c r="C912" s="15"/>
      <c r="D912" s="15"/>
      <c r="E912" s="15"/>
      <c r="F912" s="15"/>
      <c r="G912" s="15"/>
      <c r="H912" s="30"/>
      <c r="I912" s="30"/>
      <c r="J912" s="15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5"/>
      <c r="V912" s="14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</row>
    <row r="913">
      <c r="A913" s="15"/>
      <c r="B913" s="15"/>
      <c r="C913" s="15"/>
      <c r="D913" s="15"/>
      <c r="E913" s="15"/>
      <c r="F913" s="15"/>
      <c r="G913" s="15"/>
      <c r="H913" s="30"/>
      <c r="I913" s="30"/>
      <c r="J913" s="15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5"/>
      <c r="V913" s="14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</row>
    <row r="914">
      <c r="A914" s="15"/>
      <c r="B914" s="15"/>
      <c r="C914" s="15"/>
      <c r="D914" s="15"/>
      <c r="E914" s="15"/>
      <c r="F914" s="15"/>
      <c r="G914" s="15"/>
      <c r="H914" s="30"/>
      <c r="I914" s="30"/>
      <c r="J914" s="15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5"/>
      <c r="V914" s="14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</row>
    <row r="915">
      <c r="A915" s="15"/>
      <c r="B915" s="15"/>
      <c r="C915" s="15"/>
      <c r="D915" s="15"/>
      <c r="E915" s="15"/>
      <c r="F915" s="15"/>
      <c r="G915" s="15"/>
      <c r="H915" s="30"/>
      <c r="I915" s="30"/>
      <c r="J915" s="15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5"/>
      <c r="V915" s="14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</row>
    <row r="916">
      <c r="A916" s="15"/>
      <c r="B916" s="15"/>
      <c r="C916" s="15"/>
      <c r="D916" s="15"/>
      <c r="E916" s="15"/>
      <c r="F916" s="15"/>
      <c r="G916" s="15"/>
      <c r="H916" s="30"/>
      <c r="I916" s="30"/>
      <c r="J916" s="15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5"/>
      <c r="V916" s="14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</row>
    <row r="917">
      <c r="A917" s="15"/>
      <c r="B917" s="15"/>
      <c r="C917" s="15"/>
      <c r="D917" s="15"/>
      <c r="E917" s="15"/>
      <c r="F917" s="15"/>
      <c r="G917" s="15"/>
      <c r="H917" s="30"/>
      <c r="I917" s="30"/>
      <c r="J917" s="15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5"/>
      <c r="V917" s="14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</row>
    <row r="918">
      <c r="A918" s="15"/>
      <c r="B918" s="15"/>
      <c r="C918" s="15"/>
      <c r="D918" s="15"/>
      <c r="E918" s="15"/>
      <c r="F918" s="15"/>
      <c r="G918" s="15"/>
      <c r="H918" s="30"/>
      <c r="I918" s="30"/>
      <c r="J918" s="15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5"/>
      <c r="V918" s="14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</row>
    <row r="919">
      <c r="A919" s="15"/>
      <c r="B919" s="15"/>
      <c r="C919" s="15"/>
      <c r="D919" s="15"/>
      <c r="E919" s="15"/>
      <c r="F919" s="15"/>
      <c r="G919" s="15"/>
      <c r="H919" s="30"/>
      <c r="I919" s="30"/>
      <c r="J919" s="15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5"/>
      <c r="V919" s="14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</row>
    <row r="920">
      <c r="A920" s="15"/>
      <c r="B920" s="15"/>
      <c r="C920" s="15"/>
      <c r="D920" s="15"/>
      <c r="E920" s="15"/>
      <c r="F920" s="15"/>
      <c r="G920" s="15"/>
      <c r="H920" s="30"/>
      <c r="I920" s="30"/>
      <c r="J920" s="15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5"/>
      <c r="V920" s="14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</row>
    <row r="921">
      <c r="A921" s="15"/>
      <c r="B921" s="15"/>
      <c r="C921" s="15"/>
      <c r="D921" s="15"/>
      <c r="E921" s="15"/>
      <c r="F921" s="15"/>
      <c r="G921" s="15"/>
      <c r="H921" s="30"/>
      <c r="I921" s="30"/>
      <c r="J921" s="15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5"/>
      <c r="V921" s="14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</row>
    <row r="922">
      <c r="A922" s="15"/>
      <c r="B922" s="15"/>
      <c r="C922" s="15"/>
      <c r="D922" s="15"/>
      <c r="E922" s="15"/>
      <c r="F922" s="15"/>
      <c r="G922" s="15"/>
      <c r="H922" s="30"/>
      <c r="I922" s="30"/>
      <c r="J922" s="15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5"/>
      <c r="V922" s="14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</row>
    <row r="923">
      <c r="A923" s="15"/>
      <c r="B923" s="15"/>
      <c r="C923" s="15"/>
      <c r="D923" s="15"/>
      <c r="E923" s="15"/>
      <c r="F923" s="15"/>
      <c r="G923" s="15"/>
      <c r="H923" s="30"/>
      <c r="I923" s="30"/>
      <c r="J923" s="15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5"/>
      <c r="V923" s="14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</row>
    <row r="924">
      <c r="A924" s="15"/>
      <c r="B924" s="15"/>
      <c r="C924" s="15"/>
      <c r="D924" s="15"/>
      <c r="E924" s="15"/>
      <c r="F924" s="15"/>
      <c r="G924" s="15"/>
      <c r="H924" s="30"/>
      <c r="I924" s="30"/>
      <c r="J924" s="15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5"/>
      <c r="V924" s="14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</row>
    <row r="925">
      <c r="A925" s="15"/>
      <c r="B925" s="15"/>
      <c r="C925" s="15"/>
      <c r="D925" s="15"/>
      <c r="E925" s="15"/>
      <c r="F925" s="15"/>
      <c r="G925" s="15"/>
      <c r="H925" s="30"/>
      <c r="I925" s="30"/>
      <c r="J925" s="15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5"/>
      <c r="V925" s="14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</row>
    <row r="926">
      <c r="A926" s="15"/>
      <c r="B926" s="15"/>
      <c r="C926" s="15"/>
      <c r="D926" s="15"/>
      <c r="E926" s="15"/>
      <c r="F926" s="15"/>
      <c r="G926" s="15"/>
      <c r="H926" s="30"/>
      <c r="I926" s="30"/>
      <c r="J926" s="15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5"/>
      <c r="V926" s="14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</row>
    <row r="927">
      <c r="A927" s="15"/>
      <c r="B927" s="15"/>
      <c r="C927" s="15"/>
      <c r="D927" s="15"/>
      <c r="E927" s="15"/>
      <c r="F927" s="15"/>
      <c r="G927" s="15"/>
      <c r="H927" s="30"/>
      <c r="I927" s="30"/>
      <c r="J927" s="15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5"/>
      <c r="V927" s="14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</row>
    <row r="928">
      <c r="A928" s="15"/>
      <c r="B928" s="15"/>
      <c r="C928" s="15"/>
      <c r="D928" s="15"/>
      <c r="E928" s="15"/>
      <c r="F928" s="15"/>
      <c r="G928" s="15"/>
      <c r="H928" s="30"/>
      <c r="I928" s="30"/>
      <c r="J928" s="15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5"/>
      <c r="V928" s="14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</row>
    <row r="929">
      <c r="A929" s="15"/>
      <c r="B929" s="15"/>
      <c r="C929" s="15"/>
      <c r="D929" s="15"/>
      <c r="E929" s="15"/>
      <c r="F929" s="15"/>
      <c r="G929" s="15"/>
      <c r="H929" s="30"/>
      <c r="I929" s="30"/>
      <c r="J929" s="15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5"/>
      <c r="V929" s="14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</row>
    <row r="930">
      <c r="A930" s="15"/>
      <c r="B930" s="15"/>
      <c r="C930" s="15"/>
      <c r="D930" s="15"/>
      <c r="E930" s="15"/>
      <c r="F930" s="15"/>
      <c r="G930" s="15"/>
      <c r="H930" s="30"/>
      <c r="I930" s="30"/>
      <c r="J930" s="15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5"/>
      <c r="V930" s="14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</row>
    <row r="931">
      <c r="A931" s="15"/>
      <c r="B931" s="15"/>
      <c r="C931" s="15"/>
      <c r="D931" s="15"/>
      <c r="E931" s="15"/>
      <c r="F931" s="15"/>
      <c r="G931" s="15"/>
      <c r="H931" s="30"/>
      <c r="I931" s="30"/>
      <c r="J931" s="15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5"/>
      <c r="V931" s="14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</row>
    <row r="932">
      <c r="A932" s="15"/>
      <c r="B932" s="15"/>
      <c r="C932" s="15"/>
      <c r="D932" s="15"/>
      <c r="E932" s="15"/>
      <c r="F932" s="15"/>
      <c r="G932" s="15"/>
      <c r="H932" s="30"/>
      <c r="I932" s="30"/>
      <c r="J932" s="15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5"/>
      <c r="V932" s="14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</row>
    <row r="933">
      <c r="A933" s="15"/>
      <c r="B933" s="15"/>
      <c r="C933" s="15"/>
      <c r="D933" s="15"/>
      <c r="E933" s="15"/>
      <c r="F933" s="15"/>
      <c r="G933" s="15"/>
      <c r="H933" s="30"/>
      <c r="I933" s="30"/>
      <c r="J933" s="15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5"/>
      <c r="V933" s="14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</row>
    <row r="934">
      <c r="A934" s="15"/>
      <c r="B934" s="15"/>
      <c r="C934" s="15"/>
      <c r="D934" s="15"/>
      <c r="E934" s="15"/>
      <c r="F934" s="15"/>
      <c r="G934" s="15"/>
      <c r="H934" s="30"/>
      <c r="I934" s="30"/>
      <c r="J934" s="15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5"/>
      <c r="V934" s="14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</row>
    <row r="935">
      <c r="A935" s="15"/>
      <c r="B935" s="15"/>
      <c r="C935" s="15"/>
      <c r="D935" s="15"/>
      <c r="E935" s="15"/>
      <c r="F935" s="15"/>
      <c r="G935" s="15"/>
      <c r="H935" s="30"/>
      <c r="I935" s="30"/>
      <c r="J935" s="15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5"/>
      <c r="V935" s="14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</row>
    <row r="936">
      <c r="A936" s="15"/>
      <c r="B936" s="15"/>
      <c r="C936" s="15"/>
      <c r="D936" s="15"/>
      <c r="E936" s="15"/>
      <c r="F936" s="15"/>
      <c r="G936" s="15"/>
      <c r="H936" s="30"/>
      <c r="I936" s="30"/>
      <c r="J936" s="15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5"/>
      <c r="V936" s="14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</row>
    <row r="937">
      <c r="A937" s="15"/>
      <c r="B937" s="15"/>
      <c r="C937" s="15"/>
      <c r="D937" s="15"/>
      <c r="E937" s="15"/>
      <c r="F937" s="15"/>
      <c r="G937" s="15"/>
      <c r="H937" s="30"/>
      <c r="I937" s="30"/>
      <c r="J937" s="15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5"/>
      <c r="V937" s="14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</row>
    <row r="938">
      <c r="A938" s="15"/>
      <c r="B938" s="15"/>
      <c r="C938" s="15"/>
      <c r="D938" s="15"/>
      <c r="E938" s="15"/>
      <c r="F938" s="15"/>
      <c r="G938" s="15"/>
      <c r="H938" s="30"/>
      <c r="I938" s="30"/>
      <c r="J938" s="15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5"/>
      <c r="V938" s="14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</row>
    <row r="939">
      <c r="A939" s="15"/>
      <c r="B939" s="15"/>
      <c r="C939" s="15"/>
      <c r="D939" s="15"/>
      <c r="E939" s="15"/>
      <c r="F939" s="15"/>
      <c r="G939" s="15"/>
      <c r="H939" s="30"/>
      <c r="I939" s="30"/>
      <c r="J939" s="15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5"/>
      <c r="V939" s="14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</row>
    <row r="940">
      <c r="A940" s="15"/>
      <c r="B940" s="15"/>
      <c r="C940" s="15"/>
      <c r="D940" s="15"/>
      <c r="E940" s="15"/>
      <c r="F940" s="15"/>
      <c r="G940" s="15"/>
      <c r="H940" s="30"/>
      <c r="I940" s="30"/>
      <c r="J940" s="15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5"/>
      <c r="V940" s="14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</row>
    <row r="941">
      <c r="A941" s="15"/>
      <c r="B941" s="15"/>
      <c r="C941" s="15"/>
      <c r="D941" s="15"/>
      <c r="E941" s="15"/>
      <c r="F941" s="15"/>
      <c r="G941" s="15"/>
      <c r="H941" s="30"/>
      <c r="I941" s="30"/>
      <c r="J941" s="15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5"/>
      <c r="V941" s="14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</row>
    <row r="942">
      <c r="A942" s="15"/>
      <c r="B942" s="15"/>
      <c r="C942" s="15"/>
      <c r="D942" s="15"/>
      <c r="E942" s="15"/>
      <c r="F942" s="15"/>
      <c r="G942" s="15"/>
      <c r="H942" s="30"/>
      <c r="I942" s="30"/>
      <c r="J942" s="15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5"/>
      <c r="V942" s="14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</row>
    <row r="943">
      <c r="A943" s="15"/>
      <c r="B943" s="15"/>
      <c r="C943" s="15"/>
      <c r="D943" s="15"/>
      <c r="E943" s="15"/>
      <c r="F943" s="15"/>
      <c r="G943" s="15"/>
      <c r="H943" s="30"/>
      <c r="I943" s="30"/>
      <c r="J943" s="15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5"/>
      <c r="V943" s="14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</row>
    <row r="944">
      <c r="A944" s="15"/>
      <c r="B944" s="15"/>
      <c r="C944" s="15"/>
      <c r="D944" s="15"/>
      <c r="E944" s="15"/>
      <c r="F944" s="15"/>
      <c r="G944" s="15"/>
      <c r="H944" s="30"/>
      <c r="I944" s="30"/>
      <c r="J944" s="15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5"/>
      <c r="V944" s="14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</row>
    <row r="945">
      <c r="A945" s="15"/>
      <c r="B945" s="15"/>
      <c r="C945" s="15"/>
      <c r="D945" s="15"/>
      <c r="E945" s="15"/>
      <c r="F945" s="15"/>
      <c r="G945" s="15"/>
      <c r="H945" s="30"/>
      <c r="I945" s="30"/>
      <c r="J945" s="15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5"/>
      <c r="V945" s="14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</row>
    <row r="946">
      <c r="A946" s="15"/>
      <c r="B946" s="15"/>
      <c r="C946" s="15"/>
      <c r="D946" s="15"/>
      <c r="E946" s="15"/>
      <c r="F946" s="15"/>
      <c r="G946" s="15"/>
      <c r="H946" s="30"/>
      <c r="I946" s="30"/>
      <c r="J946" s="15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5"/>
      <c r="V946" s="14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</row>
    <row r="947">
      <c r="A947" s="15"/>
      <c r="B947" s="15"/>
      <c r="C947" s="15"/>
      <c r="D947" s="15"/>
      <c r="E947" s="15"/>
      <c r="F947" s="15"/>
      <c r="G947" s="15"/>
      <c r="H947" s="30"/>
      <c r="I947" s="30"/>
      <c r="J947" s="15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5"/>
      <c r="V947" s="14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</row>
    <row r="948">
      <c r="A948" s="15"/>
      <c r="B948" s="15"/>
      <c r="C948" s="15"/>
      <c r="D948" s="15"/>
      <c r="E948" s="15"/>
      <c r="F948" s="15"/>
      <c r="G948" s="15"/>
      <c r="H948" s="30"/>
      <c r="I948" s="30"/>
      <c r="J948" s="15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5"/>
      <c r="V948" s="14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</row>
    <row r="949">
      <c r="A949" s="15"/>
      <c r="B949" s="15"/>
      <c r="C949" s="15"/>
      <c r="D949" s="15"/>
      <c r="E949" s="15"/>
      <c r="F949" s="15"/>
      <c r="G949" s="15"/>
      <c r="H949" s="30"/>
      <c r="I949" s="30"/>
      <c r="J949" s="15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5"/>
      <c r="V949" s="14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</row>
    <row r="950">
      <c r="A950" s="15"/>
      <c r="B950" s="15"/>
      <c r="C950" s="15"/>
      <c r="D950" s="15"/>
      <c r="E950" s="15"/>
      <c r="F950" s="15"/>
      <c r="G950" s="15"/>
      <c r="H950" s="30"/>
      <c r="I950" s="30"/>
      <c r="J950" s="15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5"/>
      <c r="V950" s="14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</row>
    <row r="951">
      <c r="A951" s="15"/>
      <c r="B951" s="15"/>
      <c r="C951" s="15"/>
      <c r="D951" s="15"/>
      <c r="E951" s="15"/>
      <c r="F951" s="15"/>
      <c r="G951" s="15"/>
      <c r="H951" s="30"/>
      <c r="I951" s="30"/>
      <c r="J951" s="15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5"/>
      <c r="V951" s="14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</row>
    <row r="952">
      <c r="A952" s="15"/>
      <c r="B952" s="15"/>
      <c r="C952" s="15"/>
      <c r="D952" s="15"/>
      <c r="E952" s="15"/>
      <c r="F952" s="15"/>
      <c r="G952" s="15"/>
      <c r="H952" s="30"/>
      <c r="I952" s="30"/>
      <c r="J952" s="15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5"/>
      <c r="V952" s="14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</row>
    <row r="953">
      <c r="A953" s="15"/>
      <c r="B953" s="15"/>
      <c r="C953" s="15"/>
      <c r="D953" s="15"/>
      <c r="E953" s="15"/>
      <c r="F953" s="15"/>
      <c r="G953" s="15"/>
      <c r="H953" s="30"/>
      <c r="I953" s="30"/>
      <c r="J953" s="15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5"/>
      <c r="V953" s="14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</row>
    <row r="954">
      <c r="A954" s="15"/>
      <c r="B954" s="15"/>
      <c r="C954" s="15"/>
      <c r="D954" s="15"/>
      <c r="E954" s="15"/>
      <c r="F954" s="15"/>
      <c r="G954" s="15"/>
      <c r="H954" s="30"/>
      <c r="I954" s="30"/>
      <c r="J954" s="15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5"/>
      <c r="V954" s="14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</row>
    <row r="955">
      <c r="A955" s="15"/>
      <c r="B955" s="15"/>
      <c r="C955" s="15"/>
      <c r="D955" s="15"/>
      <c r="E955" s="15"/>
      <c r="F955" s="15"/>
      <c r="G955" s="15"/>
      <c r="H955" s="30"/>
      <c r="I955" s="30"/>
      <c r="J955" s="15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5"/>
      <c r="V955" s="14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</row>
    <row r="956">
      <c r="A956" s="15"/>
      <c r="B956" s="15"/>
      <c r="C956" s="15"/>
      <c r="D956" s="15"/>
      <c r="E956" s="15"/>
      <c r="F956" s="15"/>
      <c r="G956" s="15"/>
      <c r="H956" s="30"/>
      <c r="I956" s="30"/>
      <c r="J956" s="15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5"/>
      <c r="V956" s="14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</row>
    <row r="957">
      <c r="A957" s="15"/>
      <c r="B957" s="15"/>
      <c r="C957" s="15"/>
      <c r="D957" s="15"/>
      <c r="E957" s="15"/>
      <c r="F957" s="15"/>
      <c r="G957" s="15"/>
      <c r="H957" s="30"/>
      <c r="I957" s="30"/>
      <c r="J957" s="15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5"/>
      <c r="V957" s="14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</row>
    <row r="958">
      <c r="A958" s="15"/>
      <c r="B958" s="15"/>
      <c r="C958" s="15"/>
      <c r="D958" s="15"/>
      <c r="E958" s="15"/>
      <c r="F958" s="15"/>
      <c r="G958" s="15"/>
      <c r="H958" s="30"/>
      <c r="I958" s="30"/>
      <c r="J958" s="15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5"/>
      <c r="V958" s="14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</row>
    <row r="959">
      <c r="A959" s="15"/>
      <c r="B959" s="15"/>
      <c r="C959" s="15"/>
      <c r="D959" s="15"/>
      <c r="E959" s="15"/>
      <c r="F959" s="15"/>
      <c r="G959" s="15"/>
      <c r="H959" s="30"/>
      <c r="I959" s="30"/>
      <c r="J959" s="15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5"/>
      <c r="V959" s="14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</row>
    <row r="960">
      <c r="A960" s="15"/>
      <c r="B960" s="15"/>
      <c r="C960" s="15"/>
      <c r="D960" s="15"/>
      <c r="E960" s="15"/>
      <c r="F960" s="15"/>
      <c r="G960" s="15"/>
      <c r="H960" s="30"/>
      <c r="I960" s="30"/>
      <c r="J960" s="15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5"/>
      <c r="V960" s="14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</row>
    <row r="961">
      <c r="A961" s="15"/>
      <c r="B961" s="15"/>
      <c r="C961" s="15"/>
      <c r="D961" s="15"/>
      <c r="E961" s="15"/>
      <c r="F961" s="15"/>
      <c r="G961" s="15"/>
      <c r="H961" s="30"/>
      <c r="I961" s="30"/>
      <c r="J961" s="15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5"/>
      <c r="V961" s="14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</row>
    <row r="962">
      <c r="A962" s="15"/>
      <c r="B962" s="15"/>
      <c r="C962" s="15"/>
      <c r="D962" s="15"/>
      <c r="E962" s="15"/>
      <c r="F962" s="15"/>
      <c r="G962" s="15"/>
      <c r="H962" s="30"/>
      <c r="I962" s="30"/>
      <c r="J962" s="15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5"/>
      <c r="V962" s="14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</row>
    <row r="963">
      <c r="A963" s="15"/>
      <c r="B963" s="15"/>
      <c r="C963" s="15"/>
      <c r="D963" s="15"/>
      <c r="E963" s="15"/>
      <c r="F963" s="15"/>
      <c r="G963" s="15"/>
      <c r="H963" s="30"/>
      <c r="I963" s="30"/>
      <c r="J963" s="15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5"/>
      <c r="V963" s="14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</row>
    <row r="964">
      <c r="A964" s="15"/>
      <c r="B964" s="15"/>
      <c r="C964" s="15"/>
      <c r="D964" s="15"/>
      <c r="E964" s="15"/>
      <c r="F964" s="15"/>
      <c r="G964" s="15"/>
      <c r="H964" s="30"/>
      <c r="I964" s="30"/>
      <c r="J964" s="15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5"/>
      <c r="V964" s="14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</row>
    <row r="965">
      <c r="A965" s="15"/>
      <c r="B965" s="15"/>
      <c r="C965" s="15"/>
      <c r="D965" s="15"/>
      <c r="E965" s="15"/>
      <c r="F965" s="15"/>
      <c r="G965" s="15"/>
      <c r="H965" s="30"/>
      <c r="I965" s="30"/>
      <c r="J965" s="15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5"/>
      <c r="V965" s="14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</row>
    <row r="966">
      <c r="A966" s="15"/>
      <c r="B966" s="15"/>
      <c r="C966" s="15"/>
      <c r="D966" s="15"/>
      <c r="E966" s="15"/>
      <c r="F966" s="15"/>
      <c r="G966" s="15"/>
      <c r="H966" s="30"/>
      <c r="I966" s="30"/>
      <c r="J966" s="15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5"/>
      <c r="V966" s="14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</row>
    <row r="967">
      <c r="A967" s="15"/>
      <c r="B967" s="15"/>
      <c r="C967" s="15"/>
      <c r="D967" s="15"/>
      <c r="E967" s="15"/>
      <c r="F967" s="15"/>
      <c r="G967" s="15"/>
      <c r="H967" s="30"/>
      <c r="I967" s="30"/>
      <c r="J967" s="15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5"/>
      <c r="V967" s="14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</row>
    <row r="968">
      <c r="A968" s="15"/>
      <c r="B968" s="15"/>
      <c r="C968" s="15"/>
      <c r="D968" s="15"/>
      <c r="E968" s="15"/>
      <c r="F968" s="15"/>
      <c r="G968" s="15"/>
      <c r="H968" s="30"/>
      <c r="I968" s="30"/>
      <c r="J968" s="15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5"/>
      <c r="V968" s="14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</row>
    <row r="969">
      <c r="A969" s="15"/>
      <c r="B969" s="15"/>
      <c r="C969" s="15"/>
      <c r="D969" s="15"/>
      <c r="E969" s="15"/>
      <c r="F969" s="15"/>
      <c r="G969" s="15"/>
      <c r="H969" s="30"/>
      <c r="I969" s="30"/>
      <c r="J969" s="15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5"/>
      <c r="V969" s="14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</row>
    <row r="970">
      <c r="A970" s="15"/>
      <c r="B970" s="15"/>
      <c r="C970" s="15"/>
      <c r="D970" s="15"/>
      <c r="E970" s="15"/>
      <c r="F970" s="15"/>
      <c r="G970" s="15"/>
      <c r="H970" s="30"/>
      <c r="I970" s="30"/>
      <c r="J970" s="15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5"/>
      <c r="V970" s="14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</row>
    <row r="971">
      <c r="A971" s="15"/>
      <c r="B971" s="15"/>
      <c r="C971" s="15"/>
      <c r="D971" s="15"/>
      <c r="E971" s="15"/>
      <c r="F971" s="15"/>
      <c r="G971" s="15"/>
      <c r="H971" s="30"/>
      <c r="I971" s="30"/>
      <c r="J971" s="15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5"/>
      <c r="V971" s="14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</row>
    <row r="972">
      <c r="A972" s="15"/>
      <c r="B972" s="15"/>
      <c r="C972" s="15"/>
      <c r="D972" s="15"/>
      <c r="E972" s="15"/>
      <c r="F972" s="15"/>
      <c r="G972" s="15"/>
      <c r="H972" s="30"/>
      <c r="I972" s="30"/>
      <c r="J972" s="15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5"/>
      <c r="V972" s="14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</row>
    <row r="973">
      <c r="A973" s="15"/>
      <c r="B973" s="15"/>
      <c r="C973" s="15"/>
      <c r="D973" s="15"/>
      <c r="E973" s="15"/>
      <c r="F973" s="15"/>
      <c r="G973" s="15"/>
      <c r="H973" s="30"/>
      <c r="I973" s="30"/>
      <c r="J973" s="15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5"/>
      <c r="V973" s="14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</row>
    <row r="974">
      <c r="A974" s="15"/>
      <c r="B974" s="15"/>
      <c r="C974" s="15"/>
      <c r="D974" s="15"/>
      <c r="E974" s="15"/>
      <c r="F974" s="15"/>
      <c r="G974" s="15"/>
      <c r="H974" s="30"/>
      <c r="I974" s="30"/>
      <c r="J974" s="15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5"/>
      <c r="V974" s="14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</row>
    <row r="975">
      <c r="A975" s="15"/>
      <c r="B975" s="15"/>
      <c r="C975" s="15"/>
      <c r="D975" s="15"/>
      <c r="E975" s="15"/>
      <c r="F975" s="15"/>
      <c r="G975" s="15"/>
      <c r="H975" s="30"/>
      <c r="I975" s="30"/>
      <c r="J975" s="15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5"/>
      <c r="V975" s="14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</row>
    <row r="976">
      <c r="A976" s="15"/>
      <c r="B976" s="15"/>
      <c r="C976" s="15"/>
      <c r="D976" s="15"/>
      <c r="E976" s="15"/>
      <c r="F976" s="15"/>
      <c r="G976" s="15"/>
      <c r="H976" s="30"/>
      <c r="I976" s="30"/>
      <c r="J976" s="15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5"/>
      <c r="V976" s="14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</row>
    <row r="977">
      <c r="A977" s="15"/>
      <c r="B977" s="15"/>
      <c r="C977" s="15"/>
      <c r="D977" s="15"/>
      <c r="E977" s="15"/>
      <c r="F977" s="15"/>
      <c r="G977" s="15"/>
      <c r="H977" s="30"/>
      <c r="I977" s="30"/>
      <c r="J977" s="15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5"/>
      <c r="V977" s="14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</row>
    <row r="978">
      <c r="A978" s="15"/>
      <c r="B978" s="15"/>
      <c r="C978" s="15"/>
      <c r="D978" s="15"/>
      <c r="E978" s="15"/>
      <c r="F978" s="15"/>
      <c r="G978" s="15"/>
      <c r="H978" s="30"/>
      <c r="I978" s="30"/>
      <c r="J978" s="15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5"/>
      <c r="V978" s="14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</row>
    <row r="979">
      <c r="A979" s="15"/>
      <c r="B979" s="15"/>
      <c r="C979" s="15"/>
      <c r="D979" s="15"/>
      <c r="E979" s="15"/>
      <c r="F979" s="15"/>
      <c r="G979" s="15"/>
      <c r="H979" s="30"/>
      <c r="I979" s="30"/>
      <c r="J979" s="15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5"/>
      <c r="V979" s="14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</row>
    <row r="980">
      <c r="A980" s="15"/>
      <c r="B980" s="15"/>
      <c r="C980" s="15"/>
      <c r="D980" s="15"/>
      <c r="E980" s="15"/>
      <c r="F980" s="15"/>
      <c r="G980" s="15"/>
      <c r="H980" s="30"/>
      <c r="I980" s="30"/>
      <c r="J980" s="15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5"/>
      <c r="V980" s="14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</row>
    <row r="981">
      <c r="A981" s="15"/>
      <c r="B981" s="15"/>
      <c r="C981" s="15"/>
      <c r="D981" s="15"/>
      <c r="E981" s="15"/>
      <c r="F981" s="15"/>
      <c r="G981" s="15"/>
      <c r="H981" s="30"/>
      <c r="I981" s="30"/>
      <c r="J981" s="15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5"/>
      <c r="V981" s="14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</row>
    <row r="982">
      <c r="A982" s="15"/>
      <c r="B982" s="15"/>
      <c r="C982" s="15"/>
      <c r="D982" s="15"/>
      <c r="E982" s="15"/>
      <c r="F982" s="15"/>
      <c r="G982" s="15"/>
      <c r="H982" s="30"/>
      <c r="I982" s="30"/>
      <c r="J982" s="15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5"/>
      <c r="V982" s="14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</row>
    <row r="983">
      <c r="A983" s="15"/>
      <c r="B983" s="15"/>
      <c r="C983" s="15"/>
      <c r="D983" s="15"/>
      <c r="E983" s="15"/>
      <c r="F983" s="15"/>
      <c r="G983" s="15"/>
      <c r="H983" s="30"/>
      <c r="I983" s="30"/>
      <c r="J983" s="15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5"/>
      <c r="V983" s="14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</row>
    <row r="984">
      <c r="A984" s="15"/>
      <c r="B984" s="15"/>
      <c r="C984" s="15"/>
      <c r="D984" s="15"/>
      <c r="E984" s="15"/>
      <c r="F984" s="15"/>
      <c r="G984" s="15"/>
      <c r="H984" s="30"/>
      <c r="I984" s="30"/>
      <c r="J984" s="15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5"/>
      <c r="V984" s="14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</row>
    <row r="985">
      <c r="A985" s="15"/>
      <c r="B985" s="15"/>
      <c r="C985" s="15"/>
      <c r="D985" s="15"/>
      <c r="E985" s="15"/>
      <c r="F985" s="15"/>
      <c r="G985" s="15"/>
      <c r="H985" s="30"/>
      <c r="I985" s="30"/>
      <c r="J985" s="15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5"/>
      <c r="V985" s="14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</row>
    <row r="986">
      <c r="A986" s="15"/>
      <c r="B986" s="15"/>
      <c r="C986" s="15"/>
      <c r="D986" s="15"/>
      <c r="E986" s="15"/>
      <c r="F986" s="15"/>
      <c r="G986" s="15"/>
      <c r="H986" s="30"/>
      <c r="I986" s="30"/>
      <c r="J986" s="15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5"/>
      <c r="V986" s="14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</row>
    <row r="987">
      <c r="A987" s="15"/>
      <c r="B987" s="15"/>
      <c r="C987" s="15"/>
      <c r="D987" s="15"/>
      <c r="E987" s="15"/>
      <c r="F987" s="15"/>
      <c r="G987" s="15"/>
      <c r="H987" s="30"/>
      <c r="I987" s="30"/>
      <c r="J987" s="15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5"/>
      <c r="V987" s="14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</row>
    <row r="988">
      <c r="A988" s="15"/>
      <c r="B988" s="15"/>
      <c r="C988" s="15"/>
      <c r="D988" s="15"/>
      <c r="E988" s="15"/>
      <c r="F988" s="15"/>
      <c r="G988" s="15"/>
      <c r="H988" s="30"/>
      <c r="I988" s="30"/>
      <c r="J988" s="15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5"/>
      <c r="V988" s="14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</row>
    <row r="989">
      <c r="A989" s="15"/>
      <c r="B989" s="15"/>
      <c r="C989" s="15"/>
      <c r="D989" s="15"/>
      <c r="E989" s="15"/>
      <c r="F989" s="15"/>
      <c r="G989" s="15"/>
      <c r="H989" s="30"/>
      <c r="I989" s="30"/>
      <c r="J989" s="15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5"/>
      <c r="V989" s="14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</row>
    <row r="990">
      <c r="A990" s="15"/>
      <c r="B990" s="15"/>
      <c r="C990" s="15"/>
      <c r="D990" s="15"/>
      <c r="E990" s="15"/>
      <c r="F990" s="15"/>
      <c r="G990" s="15"/>
      <c r="H990" s="30"/>
      <c r="I990" s="30"/>
      <c r="J990" s="15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5"/>
      <c r="V990" s="14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</row>
    <row r="991">
      <c r="A991" s="15"/>
      <c r="B991" s="15"/>
      <c r="C991" s="15"/>
      <c r="D991" s="15"/>
      <c r="E991" s="15"/>
      <c r="F991" s="15"/>
      <c r="G991" s="15"/>
      <c r="H991" s="30"/>
      <c r="I991" s="30"/>
      <c r="J991" s="15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5"/>
      <c r="V991" s="14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</row>
    <row r="992">
      <c r="A992" s="15"/>
      <c r="B992" s="15"/>
      <c r="C992" s="15"/>
      <c r="D992" s="15"/>
      <c r="E992" s="15"/>
      <c r="F992" s="15"/>
      <c r="G992" s="15"/>
      <c r="H992" s="30"/>
      <c r="I992" s="30"/>
      <c r="J992" s="15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5"/>
      <c r="V992" s="14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</row>
    <row r="993">
      <c r="A993" s="15"/>
      <c r="B993" s="15"/>
      <c r="C993" s="15"/>
      <c r="D993" s="15"/>
      <c r="E993" s="15"/>
      <c r="F993" s="15"/>
      <c r="G993" s="15"/>
      <c r="H993" s="30"/>
      <c r="I993" s="30"/>
      <c r="J993" s="15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5"/>
      <c r="V993" s="14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</row>
    <row r="994">
      <c r="A994" s="15"/>
      <c r="B994" s="15"/>
      <c r="C994" s="15"/>
      <c r="D994" s="15"/>
      <c r="E994" s="15"/>
      <c r="F994" s="15"/>
      <c r="G994" s="15"/>
      <c r="H994" s="30"/>
      <c r="I994" s="30"/>
      <c r="J994" s="15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5"/>
      <c r="V994" s="14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</row>
    <row r="995">
      <c r="A995" s="15"/>
      <c r="B995" s="15"/>
      <c r="C995" s="15"/>
      <c r="D995" s="15"/>
      <c r="E995" s="15"/>
      <c r="F995" s="15"/>
      <c r="G995" s="15"/>
      <c r="H995" s="30"/>
      <c r="I995" s="30"/>
      <c r="J995" s="15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5"/>
      <c r="V995" s="14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</row>
    <row r="996">
      <c r="A996" s="15"/>
      <c r="B996" s="15"/>
      <c r="C996" s="15"/>
      <c r="D996" s="15"/>
      <c r="E996" s="15"/>
      <c r="F996" s="15"/>
      <c r="G996" s="15"/>
      <c r="H996" s="30"/>
      <c r="I996" s="30"/>
      <c r="J996" s="15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5"/>
      <c r="V996" s="14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</row>
    <row r="997">
      <c r="A997" s="15"/>
      <c r="B997" s="15"/>
      <c r="C997" s="15"/>
      <c r="D997" s="15"/>
      <c r="E997" s="15"/>
      <c r="F997" s="15"/>
      <c r="G997" s="15"/>
      <c r="H997" s="30"/>
      <c r="I997" s="30"/>
      <c r="J997" s="15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5"/>
      <c r="V997" s="14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</row>
    <row r="998">
      <c r="A998" s="15"/>
      <c r="B998" s="15"/>
      <c r="C998" s="15"/>
      <c r="D998" s="15"/>
      <c r="E998" s="15"/>
      <c r="F998" s="15"/>
      <c r="G998" s="15"/>
      <c r="H998" s="30"/>
      <c r="I998" s="30"/>
      <c r="J998" s="15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5"/>
      <c r="V998" s="14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</row>
    <row r="999">
      <c r="A999" s="15"/>
      <c r="B999" s="15"/>
      <c r="C999" s="15"/>
      <c r="D999" s="15"/>
      <c r="E999" s="15"/>
      <c r="F999" s="15"/>
      <c r="G999" s="15"/>
      <c r="H999" s="30"/>
      <c r="I999" s="30"/>
      <c r="J999" s="15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5"/>
      <c r="V999" s="14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</row>
    <row r="1000">
      <c r="A1000" s="15"/>
      <c r="B1000" s="15"/>
      <c r="C1000" s="15"/>
      <c r="D1000" s="15"/>
      <c r="E1000" s="15"/>
      <c r="F1000" s="15"/>
      <c r="G1000" s="15"/>
      <c r="H1000" s="30"/>
      <c r="I1000" s="30"/>
      <c r="J1000" s="15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5"/>
      <c r="V1000" s="14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</row>
    <row r="1001">
      <c r="A1001" s="15"/>
      <c r="B1001" s="15"/>
      <c r="C1001" s="15"/>
      <c r="D1001" s="15"/>
      <c r="E1001" s="15"/>
      <c r="F1001" s="15"/>
      <c r="G1001" s="15"/>
      <c r="H1001" s="30"/>
      <c r="I1001" s="30"/>
      <c r="J1001" s="15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5"/>
      <c r="V1001" s="14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</row>
    <row r="1002">
      <c r="A1002" s="15"/>
      <c r="B1002" s="15"/>
      <c r="C1002" s="15"/>
      <c r="D1002" s="15"/>
      <c r="E1002" s="15"/>
      <c r="F1002" s="15"/>
      <c r="G1002" s="15"/>
      <c r="H1002" s="30"/>
      <c r="I1002" s="30"/>
      <c r="J1002" s="15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5"/>
      <c r="V1002" s="14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</row>
    <row r="1003">
      <c r="A1003" s="15"/>
      <c r="B1003" s="15"/>
      <c r="C1003" s="15"/>
      <c r="D1003" s="15"/>
      <c r="E1003" s="15"/>
      <c r="F1003" s="15"/>
      <c r="G1003" s="15"/>
      <c r="H1003" s="30"/>
      <c r="I1003" s="30"/>
      <c r="J1003" s="15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5"/>
      <c r="V1003" s="14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</row>
    <row r="1004">
      <c r="A1004" s="15"/>
      <c r="B1004" s="15"/>
      <c r="C1004" s="15"/>
      <c r="D1004" s="15"/>
      <c r="E1004" s="15"/>
      <c r="F1004" s="15"/>
      <c r="G1004" s="15"/>
      <c r="H1004" s="30"/>
      <c r="I1004" s="30"/>
      <c r="J1004" s="15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5"/>
      <c r="V1004" s="14"/>
      <c r="Y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</row>
    <row r="1005">
      <c r="A1005" s="15"/>
      <c r="B1005" s="15"/>
      <c r="C1005" s="15"/>
      <c r="D1005" s="15"/>
      <c r="E1005" s="15"/>
      <c r="F1005" s="15"/>
      <c r="G1005" s="15"/>
      <c r="H1005" s="30"/>
      <c r="I1005" s="30"/>
      <c r="J1005" s="15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5"/>
      <c r="V1005" s="31"/>
      <c r="Y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</row>
    <row r="1006">
      <c r="A1006" s="15"/>
      <c r="B1006" s="15"/>
      <c r="C1006" s="15"/>
      <c r="D1006" s="15"/>
      <c r="E1006" s="15"/>
      <c r="F1006" s="15"/>
      <c r="G1006" s="15"/>
      <c r="H1006" s="30"/>
      <c r="I1006" s="30"/>
      <c r="J1006" s="15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5"/>
      <c r="V1006" s="31"/>
      <c r="Y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</row>
  </sheetData>
  <mergeCells count="10">
    <mergeCell ref="AA3:AA9"/>
    <mergeCell ref="Z207:AB207"/>
    <mergeCell ref="Z660:AB660"/>
    <mergeCell ref="G1:J1"/>
    <mergeCell ref="K1:M1"/>
    <mergeCell ref="N1:P1"/>
    <mergeCell ref="Q1:T1"/>
    <mergeCell ref="U1:W1"/>
    <mergeCell ref="AE3:AE9"/>
    <mergeCell ref="AA11:AG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32">
        <v>106.0</v>
      </c>
      <c r="B1" s="33">
        <v>-13575.37</v>
      </c>
      <c r="C1" s="33">
        <v>-12523.793</v>
      </c>
      <c r="D1" s="33">
        <v>116.724</v>
      </c>
    </row>
    <row r="2">
      <c r="A2" s="32">
        <v>107.0</v>
      </c>
      <c r="B2" s="33">
        <v>-13521.205</v>
      </c>
      <c r="C2" s="33">
        <v>-11305.133</v>
      </c>
      <c r="D2" s="33">
        <v>102.381</v>
      </c>
    </row>
    <row r="3">
      <c r="A3" s="32">
        <v>108.0</v>
      </c>
      <c r="B3" s="33">
        <v>-13497.552</v>
      </c>
      <c r="C3" s="33">
        <v>-10126.633</v>
      </c>
      <c r="D3" s="33">
        <v>94.986</v>
      </c>
    </row>
    <row r="4">
      <c r="A4" s="32">
        <v>109.0</v>
      </c>
      <c r="B4" s="33">
        <v>-13508.592</v>
      </c>
      <c r="C4" s="33">
        <v>-8911.002</v>
      </c>
      <c r="D4" s="33">
        <v>99.121</v>
      </c>
    </row>
    <row r="5">
      <c r="A5" s="32">
        <v>110.0</v>
      </c>
      <c r="B5" s="33">
        <v>-13525.82</v>
      </c>
      <c r="C5" s="33">
        <v>-7684.028</v>
      </c>
      <c r="D5" s="33">
        <v>100.625</v>
      </c>
    </row>
    <row r="6">
      <c r="A6" s="32">
        <v>111.0</v>
      </c>
      <c r="B6" s="33">
        <v>-13464.255</v>
      </c>
      <c r="C6" s="33">
        <v>-6505.921</v>
      </c>
      <c r="D6" s="33">
        <v>87.888</v>
      </c>
    </row>
    <row r="7">
      <c r="A7" s="32">
        <v>112.0</v>
      </c>
      <c r="B7" s="33">
        <v>-13502.569</v>
      </c>
      <c r="C7" s="33">
        <v>-5307.989</v>
      </c>
      <c r="D7" s="33">
        <v>73.78</v>
      </c>
    </row>
    <row r="8">
      <c r="A8" s="32">
        <v>113.0</v>
      </c>
      <c r="B8" s="33">
        <v>-13473.135</v>
      </c>
      <c r="C8" s="33">
        <v>-4071.315</v>
      </c>
      <c r="D8" s="33">
        <v>66.203</v>
      </c>
    </row>
    <row r="9">
      <c r="A9" s="32">
        <v>114.0</v>
      </c>
      <c r="B9" s="33">
        <v>-13502.56</v>
      </c>
      <c r="C9" s="33">
        <v>-2908.282</v>
      </c>
      <c r="D9" s="33">
        <v>72.089</v>
      </c>
    </row>
    <row r="10">
      <c r="A10" s="32">
        <v>115.0</v>
      </c>
      <c r="B10" s="33">
        <v>-13497.995</v>
      </c>
      <c r="C10" s="33">
        <v>-1660.574</v>
      </c>
      <c r="D10" s="33">
        <v>76.117</v>
      </c>
    </row>
    <row r="11">
      <c r="A11" s="32">
        <v>116.0</v>
      </c>
      <c r="B11" s="33">
        <v>-13494.477</v>
      </c>
      <c r="C11" s="33">
        <v>-507.029</v>
      </c>
      <c r="D11" s="33">
        <v>90.351</v>
      </c>
    </row>
    <row r="12">
      <c r="A12" s="32">
        <v>205.0</v>
      </c>
      <c r="B12" s="33">
        <v>-12295.81</v>
      </c>
      <c r="C12" s="33">
        <v>-13715.383</v>
      </c>
      <c r="D12" s="33">
        <v>45.558</v>
      </c>
    </row>
    <row r="13">
      <c r="A13" s="32">
        <v>206.0</v>
      </c>
      <c r="B13" s="33">
        <v>-12238.027</v>
      </c>
      <c r="C13" s="33">
        <v>-12443.395</v>
      </c>
      <c r="D13" s="33">
        <v>69.013</v>
      </c>
    </row>
    <row r="14">
      <c r="A14" s="32">
        <v>207.0</v>
      </c>
      <c r="B14" s="33">
        <v>-12309.452</v>
      </c>
      <c r="C14" s="33">
        <v>-11317.509</v>
      </c>
      <c r="D14" s="33">
        <v>68.719</v>
      </c>
    </row>
    <row r="15">
      <c r="A15" s="32">
        <v>208.0</v>
      </c>
      <c r="B15" s="33">
        <v>-12309.465</v>
      </c>
      <c r="C15" s="33">
        <v>-10115.339</v>
      </c>
      <c r="D15" s="33">
        <v>71.523</v>
      </c>
    </row>
    <row r="16">
      <c r="A16" s="32">
        <v>209.0</v>
      </c>
      <c r="B16" s="33">
        <v>-12306.559</v>
      </c>
      <c r="C16" s="33">
        <v>-8882.177</v>
      </c>
      <c r="D16" s="33">
        <v>64.78</v>
      </c>
    </row>
    <row r="17">
      <c r="A17" s="32">
        <v>210.0</v>
      </c>
      <c r="B17" s="33">
        <v>-12307.041</v>
      </c>
      <c r="C17" s="33">
        <v>-7715.748</v>
      </c>
      <c r="D17" s="33">
        <v>57.85</v>
      </c>
    </row>
    <row r="18">
      <c r="A18" s="32">
        <v>211.0</v>
      </c>
      <c r="B18" s="33">
        <v>-12303.849</v>
      </c>
      <c r="C18" s="33">
        <v>-6511.688</v>
      </c>
      <c r="D18" s="33">
        <v>57.763</v>
      </c>
    </row>
    <row r="19">
      <c r="A19" s="32">
        <v>212.0</v>
      </c>
      <c r="B19" s="33">
        <v>-12304.384</v>
      </c>
      <c r="C19" s="33">
        <v>-5313.952</v>
      </c>
      <c r="D19" s="33">
        <v>59.765</v>
      </c>
    </row>
    <row r="20">
      <c r="A20" s="32">
        <v>213.0</v>
      </c>
      <c r="B20" s="33">
        <v>-12303.548</v>
      </c>
      <c r="C20" s="33">
        <v>-4116.441</v>
      </c>
      <c r="D20" s="33">
        <v>67.134</v>
      </c>
    </row>
    <row r="21">
      <c r="A21" s="32">
        <v>214.0</v>
      </c>
      <c r="B21" s="33">
        <v>-12296.462</v>
      </c>
      <c r="C21" s="33">
        <v>-2909.936</v>
      </c>
      <c r="D21" s="33">
        <v>63.964</v>
      </c>
    </row>
    <row r="22">
      <c r="A22" s="32">
        <v>215.0</v>
      </c>
      <c r="B22" s="33">
        <v>-12294.666</v>
      </c>
      <c r="C22" s="33">
        <v>-1703.536</v>
      </c>
      <c r="D22" s="33">
        <v>73.255</v>
      </c>
    </row>
    <row r="23">
      <c r="A23" s="32">
        <v>216.0</v>
      </c>
      <c r="B23" s="33">
        <v>-12294.917</v>
      </c>
      <c r="C23" s="33">
        <v>-505.902</v>
      </c>
      <c r="D23" s="33">
        <v>107.632</v>
      </c>
    </row>
    <row r="24">
      <c r="A24" s="32">
        <v>217.0</v>
      </c>
      <c r="B24" s="33">
        <v>-12232.798</v>
      </c>
      <c r="C24" s="33">
        <v>669.887</v>
      </c>
      <c r="D24" s="33">
        <v>173.167</v>
      </c>
    </row>
    <row r="25">
      <c r="A25" s="32">
        <v>304.0</v>
      </c>
      <c r="B25" s="33">
        <v>-11144.025</v>
      </c>
      <c r="C25" s="33">
        <v>-14923.326</v>
      </c>
      <c r="D25" s="33">
        <v>23.262</v>
      </c>
    </row>
    <row r="26">
      <c r="A26" s="32">
        <v>305.0</v>
      </c>
      <c r="B26" s="33">
        <v>-11110.422</v>
      </c>
      <c r="C26" s="33">
        <v>-13710.356</v>
      </c>
      <c r="D26" s="33">
        <v>34.71</v>
      </c>
    </row>
    <row r="27">
      <c r="A27" s="32">
        <v>306.0</v>
      </c>
      <c r="B27" s="33">
        <v>-11113.325</v>
      </c>
      <c r="C27" s="33">
        <v>-12514.098</v>
      </c>
      <c r="D27" s="33">
        <v>47.51</v>
      </c>
    </row>
    <row r="28">
      <c r="A28" s="32">
        <v>307.0</v>
      </c>
      <c r="B28" s="33">
        <v>-11111.027</v>
      </c>
      <c r="C28" s="33">
        <v>-11315.054</v>
      </c>
      <c r="D28" s="33">
        <v>53.77</v>
      </c>
    </row>
    <row r="29">
      <c r="A29" s="32">
        <v>308.0</v>
      </c>
      <c r="B29" s="33">
        <v>-11108.976</v>
      </c>
      <c r="C29" s="33">
        <v>-10112.89</v>
      </c>
      <c r="D29" s="33">
        <v>56.148</v>
      </c>
    </row>
    <row r="30">
      <c r="A30" s="32">
        <v>309.0</v>
      </c>
      <c r="B30" s="33">
        <v>-11107.785</v>
      </c>
      <c r="C30" s="33">
        <v>-8915.599</v>
      </c>
      <c r="D30" s="33">
        <v>51.36</v>
      </c>
    </row>
    <row r="31">
      <c r="A31" s="32">
        <v>310.0</v>
      </c>
      <c r="B31" s="33">
        <v>-11104.523</v>
      </c>
      <c r="C31" s="33">
        <v>-7717.536</v>
      </c>
      <c r="D31" s="33">
        <v>49.142</v>
      </c>
    </row>
    <row r="32">
      <c r="A32" s="32">
        <v>311.0</v>
      </c>
      <c r="B32" s="33">
        <v>-11104.199</v>
      </c>
      <c r="C32" s="33">
        <v>-6513.255</v>
      </c>
      <c r="D32" s="33">
        <v>52.109</v>
      </c>
    </row>
    <row r="33">
      <c r="A33" s="32">
        <v>312.0</v>
      </c>
      <c r="B33" s="33">
        <v>-11102.94</v>
      </c>
      <c r="C33" s="33">
        <v>-5318.191</v>
      </c>
      <c r="D33" s="33">
        <v>56.973</v>
      </c>
    </row>
    <row r="34">
      <c r="A34" s="32">
        <v>313.0</v>
      </c>
      <c r="B34" s="33">
        <v>-11110.714</v>
      </c>
      <c r="C34" s="33">
        <v>-4102.566</v>
      </c>
      <c r="D34" s="33">
        <v>60.609</v>
      </c>
    </row>
    <row r="35">
      <c r="A35" s="32">
        <v>314.0</v>
      </c>
      <c r="B35" s="33">
        <v>-11102.111</v>
      </c>
      <c r="C35" s="33">
        <v>-2911.278</v>
      </c>
      <c r="D35" s="33">
        <v>58.351</v>
      </c>
    </row>
    <row r="36">
      <c r="A36" s="32">
        <v>315.0</v>
      </c>
      <c r="B36" s="33">
        <v>-11096.697</v>
      </c>
      <c r="C36" s="33">
        <v>-1707.66</v>
      </c>
      <c r="D36" s="33">
        <v>63.547</v>
      </c>
    </row>
    <row r="37">
      <c r="A37" s="32">
        <v>316.0</v>
      </c>
      <c r="B37" s="33">
        <v>-11095.027</v>
      </c>
      <c r="C37" s="33">
        <v>-509.474</v>
      </c>
      <c r="D37" s="33">
        <v>82.559</v>
      </c>
    </row>
    <row r="38">
      <c r="A38" s="32">
        <v>317.0</v>
      </c>
      <c r="B38" s="33">
        <v>-11095.257</v>
      </c>
      <c r="C38" s="33">
        <v>693.61</v>
      </c>
      <c r="D38" s="33">
        <v>106.741</v>
      </c>
    </row>
    <row r="39">
      <c r="A39" s="32">
        <v>318.0</v>
      </c>
      <c r="B39" s="33">
        <v>-11092.004</v>
      </c>
      <c r="C39" s="33">
        <v>1894.917</v>
      </c>
      <c r="D39" s="33">
        <v>110.882</v>
      </c>
    </row>
    <row r="40">
      <c r="A40" s="32">
        <v>403.0</v>
      </c>
      <c r="B40" s="33">
        <v>-9925.726</v>
      </c>
      <c r="C40" s="33">
        <v>-16111.187</v>
      </c>
      <c r="D40" s="33">
        <v>1.254</v>
      </c>
    </row>
    <row r="41">
      <c r="A41" s="32">
        <v>404.0</v>
      </c>
      <c r="B41" s="33">
        <v>-9872.997</v>
      </c>
      <c r="C41" s="33">
        <v>-14939.334</v>
      </c>
      <c r="D41" s="33">
        <v>14.715</v>
      </c>
    </row>
    <row r="42">
      <c r="A42" s="32">
        <v>405.0</v>
      </c>
      <c r="B42" s="33">
        <v>-9912.881</v>
      </c>
      <c r="C42" s="33">
        <v>-13721.385</v>
      </c>
      <c r="D42" s="33">
        <v>27.497</v>
      </c>
    </row>
    <row r="43">
      <c r="A43" s="32">
        <v>406.0</v>
      </c>
      <c r="B43" s="33">
        <v>-9990.702</v>
      </c>
      <c r="C43" s="33">
        <v>-12446.745</v>
      </c>
      <c r="D43" s="33">
        <v>38.707</v>
      </c>
    </row>
    <row r="44">
      <c r="A44" s="32">
        <v>407.0</v>
      </c>
      <c r="B44" s="33">
        <v>-9909.34</v>
      </c>
      <c r="C44" s="33">
        <v>-11316.428</v>
      </c>
      <c r="D44" s="33">
        <v>44.574</v>
      </c>
    </row>
    <row r="45">
      <c r="A45" s="32">
        <v>408.0</v>
      </c>
      <c r="B45" s="33">
        <v>-9908.437</v>
      </c>
      <c r="C45" s="33">
        <v>-10116.163</v>
      </c>
      <c r="D45" s="33">
        <v>53.947</v>
      </c>
    </row>
    <row r="46">
      <c r="A46" s="32">
        <v>409.0</v>
      </c>
      <c r="B46" s="33">
        <v>-9908.972</v>
      </c>
      <c r="C46" s="33">
        <v>-8913.423</v>
      </c>
      <c r="D46" s="33">
        <v>45.025</v>
      </c>
    </row>
    <row r="47">
      <c r="A47" s="32">
        <v>410.0</v>
      </c>
      <c r="B47" s="33">
        <v>-9906.583</v>
      </c>
      <c r="C47" s="33">
        <v>-7715.581</v>
      </c>
      <c r="D47" s="33">
        <v>40.814</v>
      </c>
    </row>
    <row r="48">
      <c r="A48" s="32">
        <v>411.0</v>
      </c>
      <c r="B48" s="33">
        <v>-9895.047</v>
      </c>
      <c r="C48" s="33">
        <v>-6510.875</v>
      </c>
      <c r="D48" s="33">
        <v>46.509</v>
      </c>
    </row>
    <row r="49">
      <c r="A49" s="32">
        <v>412.0</v>
      </c>
      <c r="B49" s="33">
        <v>-9912.181</v>
      </c>
      <c r="C49" s="33">
        <v>-5307.683</v>
      </c>
      <c r="D49" s="33">
        <v>51.83</v>
      </c>
    </row>
    <row r="50">
      <c r="A50" s="32">
        <v>413.0</v>
      </c>
      <c r="B50" s="33">
        <v>-9896.003</v>
      </c>
      <c r="C50" s="33">
        <v>-4117.744</v>
      </c>
      <c r="D50" s="33">
        <v>56.476</v>
      </c>
    </row>
    <row r="51">
      <c r="A51" s="32">
        <v>414.0</v>
      </c>
      <c r="B51" s="33">
        <v>-9895.676</v>
      </c>
      <c r="C51" s="33">
        <v>-2916.781</v>
      </c>
      <c r="D51" s="33">
        <v>48.191</v>
      </c>
    </row>
    <row r="52">
      <c r="A52" s="32">
        <v>415.0</v>
      </c>
      <c r="B52" s="33">
        <v>-9896.909</v>
      </c>
      <c r="C52" s="33">
        <v>-1709.601</v>
      </c>
      <c r="D52" s="33">
        <v>48.608</v>
      </c>
    </row>
    <row r="53">
      <c r="A53" s="32">
        <v>416.0</v>
      </c>
      <c r="B53" s="33">
        <v>-9895.005</v>
      </c>
      <c r="C53" s="33">
        <v>-540.068</v>
      </c>
      <c r="D53" s="33">
        <v>55.328</v>
      </c>
    </row>
    <row r="54">
      <c r="A54" s="32">
        <v>417.0</v>
      </c>
      <c r="B54" s="33">
        <v>-9893.114</v>
      </c>
      <c r="C54" s="33">
        <v>688.213</v>
      </c>
      <c r="D54" s="33">
        <v>62.596</v>
      </c>
    </row>
    <row r="55">
      <c r="A55" s="32">
        <v>418.0</v>
      </c>
      <c r="B55" s="33">
        <v>-9892.124</v>
      </c>
      <c r="C55" s="33">
        <v>1886.851</v>
      </c>
      <c r="D55" s="33">
        <v>70.105</v>
      </c>
    </row>
    <row r="56">
      <c r="A56" s="32">
        <v>419.0</v>
      </c>
      <c r="B56" s="33">
        <v>-9861.81</v>
      </c>
      <c r="C56" s="33">
        <v>3086.235</v>
      </c>
      <c r="D56" s="33">
        <v>78.593</v>
      </c>
    </row>
    <row r="57">
      <c r="A57" s="32">
        <v>502.0</v>
      </c>
      <c r="B57" s="33">
        <v>-8700.617</v>
      </c>
      <c r="C57" s="33">
        <v>-17324.854</v>
      </c>
      <c r="D57" s="33">
        <v>-15.409</v>
      </c>
    </row>
    <row r="58">
      <c r="A58" s="32">
        <v>503.0</v>
      </c>
      <c r="B58" s="33">
        <v>-8717.62</v>
      </c>
      <c r="C58" s="33">
        <v>-16118.273</v>
      </c>
      <c r="D58" s="33">
        <v>-3.491</v>
      </c>
    </row>
    <row r="59">
      <c r="A59" s="32">
        <v>504.0</v>
      </c>
      <c r="B59" s="33">
        <v>-8713.968</v>
      </c>
      <c r="C59" s="33">
        <v>-14918.71</v>
      </c>
      <c r="D59" s="33">
        <v>10.12</v>
      </c>
    </row>
    <row r="60">
      <c r="A60" s="32">
        <v>505.0</v>
      </c>
      <c r="B60" s="33">
        <v>-8774.111</v>
      </c>
      <c r="C60" s="33">
        <v>-13729.832</v>
      </c>
      <c r="D60" s="33">
        <v>19.824</v>
      </c>
    </row>
    <row r="61">
      <c r="A61" s="32">
        <v>506.0</v>
      </c>
      <c r="B61" s="33">
        <v>-8709.326</v>
      </c>
      <c r="C61" s="33">
        <v>-12522.64</v>
      </c>
      <c r="D61" s="33">
        <v>21.823</v>
      </c>
    </row>
    <row r="62">
      <c r="A62" s="32">
        <v>507.0</v>
      </c>
      <c r="B62" s="33">
        <v>-8710.319</v>
      </c>
      <c r="C62" s="33">
        <v>-11318.258</v>
      </c>
      <c r="D62" s="33">
        <v>22.788</v>
      </c>
    </row>
    <row r="63">
      <c r="A63" s="32">
        <v>508.0</v>
      </c>
      <c r="B63" s="33">
        <v>-8707.169</v>
      </c>
      <c r="C63" s="33">
        <v>-10120.095</v>
      </c>
      <c r="D63" s="33">
        <v>22.521</v>
      </c>
    </row>
    <row r="64">
      <c r="A64" s="32">
        <v>509.0</v>
      </c>
      <c r="B64" s="33">
        <v>-8702.716</v>
      </c>
      <c r="C64" s="33">
        <v>-8906.506</v>
      </c>
      <c r="D64" s="33">
        <v>28.402</v>
      </c>
    </row>
    <row r="65">
      <c r="A65" s="32">
        <v>510.0</v>
      </c>
      <c r="B65" s="33">
        <v>-8704.513</v>
      </c>
      <c r="C65" s="33">
        <v>-7720.667</v>
      </c>
      <c r="D65" s="33">
        <v>34.839</v>
      </c>
    </row>
    <row r="66">
      <c r="A66" s="32">
        <v>511.0</v>
      </c>
      <c r="B66" s="33">
        <v>-8708.2</v>
      </c>
      <c r="C66" s="33">
        <v>-6525.94</v>
      </c>
      <c r="D66" s="33">
        <v>41.502</v>
      </c>
    </row>
    <row r="67">
      <c r="A67" s="32">
        <v>512.0</v>
      </c>
      <c r="B67" s="33">
        <v>-8698.566</v>
      </c>
      <c r="C67" s="33">
        <v>-5314.342</v>
      </c>
      <c r="D67" s="33">
        <v>45.842</v>
      </c>
    </row>
    <row r="68">
      <c r="A68" s="32">
        <v>513.0</v>
      </c>
      <c r="B68" s="33">
        <v>-8689.201</v>
      </c>
      <c r="C68" s="33">
        <v>-4117.615</v>
      </c>
      <c r="D68" s="33">
        <v>42.842</v>
      </c>
    </row>
    <row r="69">
      <c r="A69" s="32">
        <v>514.0</v>
      </c>
      <c r="B69" s="33">
        <v>-8700.025</v>
      </c>
      <c r="C69" s="33">
        <v>-2913.313</v>
      </c>
      <c r="D69" s="33">
        <v>38.273</v>
      </c>
    </row>
    <row r="70">
      <c r="A70" s="32">
        <v>515.0</v>
      </c>
      <c r="B70" s="33">
        <v>-8696.703</v>
      </c>
      <c r="C70" s="33">
        <v>-1708.807</v>
      </c>
      <c r="D70" s="33">
        <v>41.525</v>
      </c>
    </row>
    <row r="71">
      <c r="A71" s="32">
        <v>516.0</v>
      </c>
      <c r="B71" s="33">
        <v>-8696.759</v>
      </c>
      <c r="C71" s="33">
        <v>-511.734</v>
      </c>
      <c r="D71" s="33">
        <v>47.984</v>
      </c>
    </row>
    <row r="72">
      <c r="A72" s="32">
        <v>517.0</v>
      </c>
      <c r="B72" s="33">
        <v>-8691.379</v>
      </c>
      <c r="C72" s="33">
        <v>685.337</v>
      </c>
      <c r="D72" s="33">
        <v>54.335</v>
      </c>
    </row>
    <row r="73">
      <c r="A73" s="32">
        <v>518.0</v>
      </c>
      <c r="B73" s="33">
        <v>-8692.123</v>
      </c>
      <c r="C73" s="33">
        <v>1891.417</v>
      </c>
      <c r="D73" s="33">
        <v>67.209</v>
      </c>
    </row>
    <row r="74">
      <c r="A74" s="32">
        <v>519.0</v>
      </c>
      <c r="B74" s="33">
        <v>-8703.585</v>
      </c>
      <c r="C74" s="33">
        <v>3075.75</v>
      </c>
      <c r="D74" s="33">
        <v>79.261</v>
      </c>
    </row>
    <row r="75">
      <c r="A75" s="32">
        <v>520.0</v>
      </c>
      <c r="B75" s="33">
        <v>-8686.201</v>
      </c>
      <c r="C75" s="33">
        <v>4288.482</v>
      </c>
      <c r="D75" s="33">
        <v>84.943</v>
      </c>
    </row>
    <row r="76">
      <c r="A76" s="32">
        <v>601.0</v>
      </c>
      <c r="B76" s="33">
        <v>-7518.322</v>
      </c>
      <c r="C76" s="33">
        <v>-18563.06</v>
      </c>
      <c r="D76" s="33">
        <v>-25.931</v>
      </c>
    </row>
    <row r="77">
      <c r="A77" s="32">
        <v>602.0</v>
      </c>
      <c r="B77" s="33">
        <v>-7527.176</v>
      </c>
      <c r="C77" s="33">
        <v>-17327.395</v>
      </c>
      <c r="D77" s="33">
        <v>-16.776</v>
      </c>
    </row>
    <row r="78">
      <c r="A78" s="32">
        <v>603.0</v>
      </c>
      <c r="B78" s="33">
        <v>-7532.277</v>
      </c>
      <c r="C78" s="33">
        <v>-16057.087</v>
      </c>
      <c r="D78" s="33">
        <v>-6.439</v>
      </c>
    </row>
    <row r="79">
      <c r="A79" s="32">
        <v>604.0</v>
      </c>
      <c r="B79" s="33">
        <v>-7511.751</v>
      </c>
      <c r="C79" s="33">
        <v>-14932.477</v>
      </c>
      <c r="D79" s="33">
        <v>-0.206</v>
      </c>
    </row>
    <row r="80">
      <c r="A80" s="32">
        <v>605.0</v>
      </c>
      <c r="B80" s="33">
        <v>-7513.363</v>
      </c>
      <c r="C80" s="33">
        <v>-13723.117</v>
      </c>
      <c r="D80" s="33">
        <v>6.026</v>
      </c>
    </row>
    <row r="81">
      <c r="A81" s="32">
        <v>606.0</v>
      </c>
      <c r="B81" s="33">
        <v>-7513.259</v>
      </c>
      <c r="C81" s="33">
        <v>-12526.971</v>
      </c>
      <c r="D81" s="33">
        <v>13.833</v>
      </c>
    </row>
    <row r="82">
      <c r="A82" s="32">
        <v>607.0</v>
      </c>
      <c r="B82" s="33">
        <v>-7507.526</v>
      </c>
      <c r="C82" s="33">
        <v>-11321.161</v>
      </c>
      <c r="D82" s="33">
        <v>18.4</v>
      </c>
    </row>
    <row r="83">
      <c r="A83" s="32">
        <v>608.0</v>
      </c>
      <c r="B83" s="33">
        <v>-7505.334</v>
      </c>
      <c r="C83" s="33">
        <v>-10119.443</v>
      </c>
      <c r="D83" s="33">
        <v>17.177</v>
      </c>
    </row>
    <row r="84">
      <c r="A84" s="32">
        <v>609.0</v>
      </c>
      <c r="B84" s="33">
        <v>-7505.054</v>
      </c>
      <c r="C84" s="33">
        <v>-8921.84</v>
      </c>
      <c r="D84" s="33">
        <v>22.3</v>
      </c>
    </row>
    <row r="85">
      <c r="A85" s="32">
        <v>610.0</v>
      </c>
      <c r="B85" s="33">
        <v>-7504.255</v>
      </c>
      <c r="C85" s="33">
        <v>-7721.238</v>
      </c>
      <c r="D85" s="33">
        <v>29.761</v>
      </c>
    </row>
    <row r="86">
      <c r="A86" s="32">
        <v>611.0</v>
      </c>
      <c r="B86" s="33">
        <v>-7502.413</v>
      </c>
      <c r="C86" s="33">
        <v>-6516.966</v>
      </c>
      <c r="D86" s="33">
        <v>34.641</v>
      </c>
    </row>
    <row r="87">
      <c r="A87" s="32">
        <v>612.0</v>
      </c>
      <c r="B87" s="33">
        <v>-7501.445</v>
      </c>
      <c r="C87" s="33">
        <v>-5318.356</v>
      </c>
      <c r="D87" s="33">
        <v>43.217</v>
      </c>
    </row>
    <row r="88">
      <c r="A88" s="32">
        <v>613.0</v>
      </c>
      <c r="B88" s="33">
        <v>-7499.156</v>
      </c>
      <c r="C88" s="33">
        <v>-4114.733</v>
      </c>
      <c r="D88" s="33">
        <v>33.792</v>
      </c>
    </row>
    <row r="89">
      <c r="A89" s="32">
        <v>614.0</v>
      </c>
      <c r="B89" s="33">
        <v>-7519.79</v>
      </c>
      <c r="C89" s="33">
        <v>-2952.291</v>
      </c>
      <c r="D89" s="33">
        <v>32.863</v>
      </c>
    </row>
    <row r="90">
      <c r="A90" s="32">
        <v>615.0</v>
      </c>
      <c r="B90" s="33">
        <v>-7496.169</v>
      </c>
      <c r="C90" s="33">
        <v>-1717.269</v>
      </c>
      <c r="D90" s="33">
        <v>38.314</v>
      </c>
    </row>
    <row r="91">
      <c r="A91" s="32">
        <v>616.0</v>
      </c>
      <c r="B91" s="33">
        <v>-7492.434</v>
      </c>
      <c r="C91" s="33">
        <v>-514.87</v>
      </c>
      <c r="D91" s="33">
        <v>45.279</v>
      </c>
    </row>
    <row r="92">
      <c r="A92" s="32">
        <v>617.0</v>
      </c>
      <c r="B92" s="33">
        <v>-7495.167</v>
      </c>
      <c r="C92" s="33">
        <v>683.874</v>
      </c>
      <c r="D92" s="33">
        <v>46.94</v>
      </c>
    </row>
    <row r="93">
      <c r="A93" s="32">
        <v>618.0</v>
      </c>
      <c r="B93" s="33">
        <v>-7490.925</v>
      </c>
      <c r="C93" s="33">
        <v>1876.953</v>
      </c>
      <c r="D93" s="33">
        <v>54.315</v>
      </c>
    </row>
    <row r="94">
      <c r="A94" s="32">
        <v>619.0</v>
      </c>
      <c r="B94" s="33">
        <v>-7486.327</v>
      </c>
      <c r="C94" s="33">
        <v>3085.251</v>
      </c>
      <c r="D94" s="33">
        <v>64.169</v>
      </c>
    </row>
    <row r="95">
      <c r="A95" s="32">
        <v>620.0</v>
      </c>
      <c r="B95" s="33">
        <v>-7484.489</v>
      </c>
      <c r="C95" s="33">
        <v>4296.003</v>
      </c>
      <c r="D95" s="33">
        <v>76.439</v>
      </c>
    </row>
    <row r="96">
      <c r="A96" s="32">
        <v>621.0</v>
      </c>
      <c r="B96" s="33">
        <v>-7482.511</v>
      </c>
      <c r="C96" s="33">
        <v>5479.448</v>
      </c>
      <c r="D96" s="33">
        <v>93.242</v>
      </c>
    </row>
    <row r="97">
      <c r="A97" s="32">
        <v>701.0</v>
      </c>
      <c r="B97" s="33">
        <v>-6319.932</v>
      </c>
      <c r="C97" s="33">
        <v>-18525.475</v>
      </c>
      <c r="D97" s="33">
        <v>-25.433</v>
      </c>
    </row>
    <row r="98">
      <c r="A98" s="32">
        <v>702.0</v>
      </c>
      <c r="B98" s="33">
        <v>-6315.673</v>
      </c>
      <c r="C98" s="33">
        <v>-17315.129</v>
      </c>
      <c r="D98" s="33">
        <v>-20.25</v>
      </c>
    </row>
    <row r="99">
      <c r="A99" s="32">
        <v>703.0</v>
      </c>
      <c r="B99" s="33">
        <v>-6314.552</v>
      </c>
      <c r="C99" s="33">
        <v>-16125.781</v>
      </c>
      <c r="D99" s="33">
        <v>-8.773</v>
      </c>
    </row>
    <row r="100">
      <c r="A100" s="32">
        <v>704.0</v>
      </c>
      <c r="B100" s="33">
        <v>-6314.194</v>
      </c>
      <c r="C100" s="33">
        <v>-14921.099</v>
      </c>
      <c r="D100" s="33">
        <v>0.937</v>
      </c>
    </row>
    <row r="101">
      <c r="A101" s="32">
        <v>705.0</v>
      </c>
      <c r="B101" s="33">
        <v>-6316.178</v>
      </c>
      <c r="C101" s="33">
        <v>-13730.173</v>
      </c>
      <c r="D101" s="33">
        <v>7.846</v>
      </c>
    </row>
    <row r="102">
      <c r="A102" s="32">
        <v>706.0</v>
      </c>
      <c r="B102" s="33">
        <v>-6312.021</v>
      </c>
      <c r="C102" s="33">
        <v>-12527.377</v>
      </c>
      <c r="D102" s="33">
        <v>20.233</v>
      </c>
    </row>
    <row r="103">
      <c r="A103" s="32">
        <v>707.0</v>
      </c>
      <c r="B103" s="33">
        <v>-6309.568</v>
      </c>
      <c r="C103" s="33">
        <v>-11320.315</v>
      </c>
      <c r="D103" s="33">
        <v>10.547</v>
      </c>
    </row>
    <row r="104">
      <c r="A104" s="32">
        <v>708.0</v>
      </c>
      <c r="B104" s="33">
        <v>-6299.961</v>
      </c>
      <c r="C104" s="33">
        <v>-10119.721</v>
      </c>
      <c r="D104" s="33">
        <v>12.46</v>
      </c>
    </row>
    <row r="105">
      <c r="A105" s="32">
        <v>709.0</v>
      </c>
      <c r="B105" s="33">
        <v>-6303.062</v>
      </c>
      <c r="C105" s="33">
        <v>-8923.005</v>
      </c>
      <c r="D105" s="33">
        <v>17.847</v>
      </c>
    </row>
    <row r="106">
      <c r="A106" s="32">
        <v>710.0</v>
      </c>
      <c r="B106" s="33">
        <v>-6305.811</v>
      </c>
      <c r="C106" s="33">
        <v>-7722.841</v>
      </c>
      <c r="D106" s="33">
        <v>21.495</v>
      </c>
    </row>
    <row r="107">
      <c r="A107" s="32">
        <v>711.0</v>
      </c>
      <c r="B107" s="33">
        <v>-6301.395</v>
      </c>
      <c r="C107" s="33">
        <v>-6523.127</v>
      </c>
      <c r="D107" s="33">
        <v>28.122</v>
      </c>
    </row>
    <row r="108">
      <c r="A108" s="32">
        <v>712.0</v>
      </c>
      <c r="B108" s="33">
        <v>-6391.907</v>
      </c>
      <c r="C108" s="33">
        <v>-5369.637</v>
      </c>
      <c r="D108" s="33">
        <v>34.46</v>
      </c>
    </row>
    <row r="109">
      <c r="A109" s="32">
        <v>713.0</v>
      </c>
      <c r="B109" s="33">
        <v>-6297.989</v>
      </c>
      <c r="C109" s="33">
        <v>-4117.789</v>
      </c>
      <c r="D109" s="33">
        <v>29.557</v>
      </c>
    </row>
    <row r="110">
      <c r="A110" s="32">
        <v>714.0</v>
      </c>
      <c r="B110" s="33">
        <v>-6295.899</v>
      </c>
      <c r="C110" s="33">
        <v>-2915.617</v>
      </c>
      <c r="D110" s="33">
        <v>31.223</v>
      </c>
    </row>
    <row r="111">
      <c r="A111" s="32">
        <v>715.0</v>
      </c>
      <c r="B111" s="33">
        <v>-6296.404</v>
      </c>
      <c r="C111" s="33">
        <v>-1711.222</v>
      </c>
      <c r="D111" s="33">
        <v>40.591</v>
      </c>
    </row>
    <row r="112">
      <c r="A112" s="32">
        <v>716.0</v>
      </c>
      <c r="B112" s="33">
        <v>-6291.295</v>
      </c>
      <c r="C112" s="33">
        <v>-513.265</v>
      </c>
      <c r="D112" s="33">
        <v>39.365</v>
      </c>
    </row>
    <row r="113">
      <c r="A113" s="32">
        <v>717.0</v>
      </c>
      <c r="B113" s="33">
        <v>-6288.43</v>
      </c>
      <c r="C113" s="33">
        <v>687.249</v>
      </c>
      <c r="D113" s="33">
        <v>39.562</v>
      </c>
    </row>
    <row r="114">
      <c r="A114" s="32">
        <v>718.0</v>
      </c>
      <c r="B114" s="33">
        <v>-6288.761</v>
      </c>
      <c r="C114" s="33">
        <v>1887.77</v>
      </c>
      <c r="D114" s="33">
        <v>44.518</v>
      </c>
    </row>
    <row r="115">
      <c r="A115" s="32">
        <v>719.0</v>
      </c>
      <c r="B115" s="33">
        <v>-6282.283</v>
      </c>
      <c r="C115" s="33">
        <v>3087.403</v>
      </c>
      <c r="D115" s="33">
        <v>53.356</v>
      </c>
    </row>
    <row r="116">
      <c r="A116" s="32">
        <v>720.0</v>
      </c>
      <c r="B116" s="33">
        <v>-6285.47</v>
      </c>
      <c r="C116" s="33">
        <v>4284.608</v>
      </c>
      <c r="D116" s="33">
        <v>64.829</v>
      </c>
    </row>
    <row r="117">
      <c r="A117" s="32">
        <v>721.0</v>
      </c>
      <c r="B117" s="33">
        <v>-6286.752</v>
      </c>
      <c r="C117" s="33">
        <v>5494.482</v>
      </c>
      <c r="D117" s="33">
        <v>79.998</v>
      </c>
    </row>
    <row r="118">
      <c r="A118" s="32">
        <v>722.0</v>
      </c>
      <c r="B118" s="33">
        <v>-6282.36</v>
      </c>
      <c r="C118" s="33">
        <v>6689.928</v>
      </c>
      <c r="D118" s="33">
        <v>100.308</v>
      </c>
    </row>
    <row r="119">
      <c r="A119" s="32">
        <v>801.0</v>
      </c>
      <c r="B119" s="33">
        <v>-5120.979</v>
      </c>
      <c r="C119" s="33">
        <v>-18537.778</v>
      </c>
      <c r="D119" s="33">
        <v>-28.255</v>
      </c>
    </row>
    <row r="120">
      <c r="A120" s="32">
        <v>802.0</v>
      </c>
      <c r="B120" s="33">
        <v>-5109.549</v>
      </c>
      <c r="C120" s="33">
        <v>-17317.999</v>
      </c>
      <c r="D120" s="33">
        <v>-22.809</v>
      </c>
    </row>
    <row r="121">
      <c r="A121" s="32">
        <v>803.0</v>
      </c>
      <c r="B121" s="33">
        <v>-5115.787</v>
      </c>
      <c r="C121" s="33">
        <v>-16129.542</v>
      </c>
      <c r="D121" s="33">
        <v>-8.66</v>
      </c>
    </row>
    <row r="122">
      <c r="A122" s="32">
        <v>804.0</v>
      </c>
      <c r="B122" s="33">
        <v>-5112.496</v>
      </c>
      <c r="C122" s="33">
        <v>-14918.31</v>
      </c>
      <c r="D122" s="33">
        <v>1.258</v>
      </c>
    </row>
    <row r="123">
      <c r="A123" s="32">
        <v>805.0</v>
      </c>
      <c r="B123" s="33">
        <v>-5110.677</v>
      </c>
      <c r="C123" s="33">
        <v>-13726.699</v>
      </c>
      <c r="D123" s="33">
        <v>-2.208</v>
      </c>
    </row>
    <row r="124">
      <c r="A124" s="32">
        <v>806.0</v>
      </c>
      <c r="B124" s="33">
        <v>-5131.366</v>
      </c>
      <c r="C124" s="33">
        <v>-12571.753</v>
      </c>
      <c r="D124" s="33">
        <v>12.442</v>
      </c>
    </row>
    <row r="125">
      <c r="A125" s="32">
        <v>807.0</v>
      </c>
      <c r="B125" s="33">
        <v>-5109.372</v>
      </c>
      <c r="C125" s="33">
        <v>-11324.733</v>
      </c>
      <c r="D125" s="33">
        <v>4.522</v>
      </c>
    </row>
    <row r="126">
      <c r="A126" s="32">
        <v>808.0</v>
      </c>
      <c r="B126" s="33">
        <v>-5104.097</v>
      </c>
      <c r="C126" s="33">
        <v>-10125.024</v>
      </c>
      <c r="D126" s="33">
        <v>6.938</v>
      </c>
    </row>
    <row r="127">
      <c r="A127" s="32">
        <v>809.0</v>
      </c>
      <c r="B127" s="33">
        <v>-5103.747</v>
      </c>
      <c r="C127" s="33">
        <v>-8922.98</v>
      </c>
      <c r="D127" s="33">
        <v>10.518</v>
      </c>
    </row>
    <row r="128">
      <c r="A128" s="32">
        <v>810.0</v>
      </c>
      <c r="B128" s="33">
        <v>-5108.584</v>
      </c>
      <c r="C128" s="33">
        <v>-7726.373</v>
      </c>
      <c r="D128" s="33">
        <v>16.82</v>
      </c>
    </row>
    <row r="129">
      <c r="A129" s="32">
        <v>811.0</v>
      </c>
      <c r="B129" s="33">
        <v>-5098.805</v>
      </c>
      <c r="C129" s="33">
        <v>-6503.672</v>
      </c>
      <c r="D129" s="33">
        <v>18.335</v>
      </c>
    </row>
    <row r="130">
      <c r="A130" s="32">
        <v>812.0</v>
      </c>
      <c r="B130" s="33">
        <v>-5095.092</v>
      </c>
      <c r="C130" s="33">
        <v>-5311.723</v>
      </c>
      <c r="D130" s="33">
        <v>19.075</v>
      </c>
    </row>
    <row r="131">
      <c r="A131" s="32">
        <v>813.0</v>
      </c>
      <c r="B131" s="33">
        <v>-5100.879</v>
      </c>
      <c r="C131" s="33">
        <v>-4121.656</v>
      </c>
      <c r="D131" s="33">
        <v>22.152</v>
      </c>
    </row>
    <row r="132">
      <c r="A132" s="32">
        <v>814.0</v>
      </c>
      <c r="B132" s="33">
        <v>-5101.391</v>
      </c>
      <c r="C132" s="33">
        <v>-2912.491</v>
      </c>
      <c r="D132" s="33">
        <v>31.15</v>
      </c>
    </row>
    <row r="133">
      <c r="A133" s="32">
        <v>815.0</v>
      </c>
      <c r="B133" s="33">
        <v>-5093.361</v>
      </c>
      <c r="C133" s="33">
        <v>-1717.094</v>
      </c>
      <c r="D133" s="33">
        <v>30.722</v>
      </c>
    </row>
    <row r="134">
      <c r="A134" s="32">
        <v>816.0</v>
      </c>
      <c r="B134" s="33">
        <v>-5091.543</v>
      </c>
      <c r="C134" s="33">
        <v>-514.917</v>
      </c>
      <c r="D134" s="33">
        <v>33.704</v>
      </c>
    </row>
    <row r="135">
      <c r="A135" s="32">
        <v>817.0</v>
      </c>
      <c r="B135" s="33">
        <v>-5093.433</v>
      </c>
      <c r="C135" s="33">
        <v>689.042</v>
      </c>
      <c r="D135" s="33">
        <v>33.986</v>
      </c>
    </row>
    <row r="136">
      <c r="A136" s="32">
        <v>818.0</v>
      </c>
      <c r="B136" s="33">
        <v>-5087.993</v>
      </c>
      <c r="C136" s="33">
        <v>1885.892</v>
      </c>
      <c r="D136" s="33">
        <v>33.688</v>
      </c>
    </row>
    <row r="137">
      <c r="A137" s="32">
        <v>819.0</v>
      </c>
      <c r="B137" s="33">
        <v>-5087.909</v>
      </c>
      <c r="C137" s="33">
        <v>3083.64</v>
      </c>
      <c r="D137" s="33">
        <v>42.331</v>
      </c>
    </row>
    <row r="138">
      <c r="A138" s="32">
        <v>820.0</v>
      </c>
      <c r="B138" s="33">
        <v>-5088.425</v>
      </c>
      <c r="C138" s="33">
        <v>4285.391</v>
      </c>
      <c r="D138" s="33">
        <v>49.614</v>
      </c>
    </row>
    <row r="139">
      <c r="A139" s="32">
        <v>821.0</v>
      </c>
      <c r="B139" s="33">
        <v>-5081.188</v>
      </c>
      <c r="C139" s="33">
        <v>5478.482</v>
      </c>
      <c r="D139" s="33">
        <v>59.725</v>
      </c>
    </row>
    <row r="140">
      <c r="A140" s="32">
        <v>822.0</v>
      </c>
      <c r="B140" s="33">
        <v>-5082.577</v>
      </c>
      <c r="C140" s="33">
        <v>6684.483</v>
      </c>
      <c r="D140" s="33">
        <v>84.251</v>
      </c>
    </row>
    <row r="141">
      <c r="A141" s="32">
        <v>823.0</v>
      </c>
      <c r="B141" s="33">
        <v>-5058.382</v>
      </c>
      <c r="C141" s="33">
        <v>7875.054</v>
      </c>
      <c r="D141" s="33">
        <v>117.278</v>
      </c>
    </row>
    <row r="142">
      <c r="A142" s="32">
        <v>827.0</v>
      </c>
      <c r="B142" s="33">
        <v>-4552.323</v>
      </c>
      <c r="C142" s="33">
        <v>12609.342</v>
      </c>
      <c r="D142" s="33">
        <v>125.847</v>
      </c>
    </row>
    <row r="143">
      <c r="A143" s="32">
        <v>828.0</v>
      </c>
      <c r="B143" s="33">
        <v>-5009.475</v>
      </c>
      <c r="C143" s="33">
        <v>13844.289</v>
      </c>
      <c r="D143" s="33">
        <v>131.268</v>
      </c>
    </row>
    <row r="144">
      <c r="A144" s="32">
        <v>901.0</v>
      </c>
      <c r="B144" s="33">
        <v>-3918.815</v>
      </c>
      <c r="C144" s="33">
        <v>-18533.018</v>
      </c>
      <c r="D144" s="33">
        <v>-31.941</v>
      </c>
    </row>
    <row r="145">
      <c r="A145" s="32">
        <v>902.0</v>
      </c>
      <c r="B145" s="33">
        <v>-3917.699</v>
      </c>
      <c r="C145" s="33">
        <v>-17329.788</v>
      </c>
      <c r="D145" s="33">
        <v>-22.919</v>
      </c>
    </row>
    <row r="146">
      <c r="A146" s="32">
        <v>903.0</v>
      </c>
      <c r="B146" s="33">
        <v>-3913.987</v>
      </c>
      <c r="C146" s="33">
        <v>-16127.321</v>
      </c>
      <c r="D146" s="33">
        <v>-18.595</v>
      </c>
    </row>
    <row r="147">
      <c r="A147" s="32">
        <v>904.0</v>
      </c>
      <c r="B147" s="33">
        <v>-3574.929</v>
      </c>
      <c r="C147" s="33">
        <v>-14880.593</v>
      </c>
      <c r="D147" s="33">
        <v>-14.338</v>
      </c>
    </row>
    <row r="148">
      <c r="A148" s="32">
        <v>905.0</v>
      </c>
      <c r="B148" s="33">
        <v>-3937.201</v>
      </c>
      <c r="C148" s="33">
        <v>-13791.885</v>
      </c>
      <c r="D148" s="33">
        <v>-5.348</v>
      </c>
    </row>
    <row r="149">
      <c r="A149" s="32">
        <v>906.0</v>
      </c>
      <c r="B149" s="33">
        <v>-3909.86</v>
      </c>
      <c r="C149" s="33">
        <v>-12525.787</v>
      </c>
      <c r="D149" s="33">
        <v>-4.202</v>
      </c>
    </row>
    <row r="150">
      <c r="A150" s="32">
        <v>907.0</v>
      </c>
      <c r="B150" s="33">
        <v>-3906.15</v>
      </c>
      <c r="C150" s="33">
        <v>-11323.084</v>
      </c>
      <c r="D150" s="33">
        <v>-0.616</v>
      </c>
    </row>
    <row r="151">
      <c r="A151" s="32">
        <v>908.0</v>
      </c>
      <c r="B151" s="33">
        <v>-3888.626</v>
      </c>
      <c r="C151" s="33">
        <v>-10138.928</v>
      </c>
      <c r="D151" s="33">
        <v>1.382</v>
      </c>
    </row>
    <row r="152">
      <c r="A152" s="32">
        <v>909.0</v>
      </c>
      <c r="B152" s="33">
        <v>-3907.978</v>
      </c>
      <c r="C152" s="33">
        <v>-8923.107</v>
      </c>
      <c r="D152" s="33">
        <v>6.291</v>
      </c>
    </row>
    <row r="153">
      <c r="A153" s="32">
        <v>910.0</v>
      </c>
      <c r="B153" s="33">
        <v>-3902.2</v>
      </c>
      <c r="C153" s="33">
        <v>-7725.284</v>
      </c>
      <c r="D153" s="33">
        <v>10.742</v>
      </c>
    </row>
    <row r="154">
      <c r="A154" s="32">
        <v>911.0</v>
      </c>
      <c r="B154" s="33">
        <v>-3901.857</v>
      </c>
      <c r="C154" s="33">
        <v>-6520.455</v>
      </c>
      <c r="D154" s="33">
        <v>11.051</v>
      </c>
    </row>
    <row r="155">
      <c r="A155" s="32">
        <v>912.0</v>
      </c>
      <c r="B155" s="33">
        <v>-3898.495</v>
      </c>
      <c r="C155" s="33">
        <v>-5318.736</v>
      </c>
      <c r="D155" s="33">
        <v>12.641</v>
      </c>
    </row>
    <row r="156">
      <c r="A156" s="32">
        <v>913.0</v>
      </c>
      <c r="B156" s="33">
        <v>-3899.626</v>
      </c>
      <c r="C156" s="33">
        <v>-4119.345</v>
      </c>
      <c r="D156" s="33">
        <v>16.64</v>
      </c>
    </row>
    <row r="157">
      <c r="A157" s="32">
        <v>914.0</v>
      </c>
      <c r="B157" s="33">
        <v>-3898.079</v>
      </c>
      <c r="C157" s="33">
        <v>-2922.95</v>
      </c>
      <c r="D157" s="33">
        <v>17.623</v>
      </c>
    </row>
    <row r="158">
      <c r="A158" s="32">
        <v>915.0</v>
      </c>
      <c r="B158" s="33">
        <v>-3894.549</v>
      </c>
      <c r="C158" s="33">
        <v>-1719.004</v>
      </c>
      <c r="D158" s="33">
        <v>26.165</v>
      </c>
    </row>
    <row r="159">
      <c r="A159" s="32">
        <v>916.0</v>
      </c>
      <c r="B159" s="33">
        <v>-3888.686</v>
      </c>
      <c r="C159" s="33">
        <v>-519.494</v>
      </c>
      <c r="D159" s="33">
        <v>24.279</v>
      </c>
    </row>
    <row r="160">
      <c r="A160" s="32">
        <v>917.0</v>
      </c>
      <c r="B160" s="33">
        <v>-3890.072</v>
      </c>
      <c r="C160" s="33">
        <v>682.907</v>
      </c>
      <c r="D160" s="33">
        <v>24.393</v>
      </c>
    </row>
    <row r="161">
      <c r="A161" s="32">
        <v>918.0</v>
      </c>
      <c r="B161" s="33">
        <v>-3890.075</v>
      </c>
      <c r="C161" s="33">
        <v>1885.754</v>
      </c>
      <c r="D161" s="33">
        <v>22.66</v>
      </c>
    </row>
    <row r="162">
      <c r="A162" s="32">
        <v>919.0</v>
      </c>
      <c r="B162" s="33">
        <v>-3888.102</v>
      </c>
      <c r="C162" s="33">
        <v>3082.276</v>
      </c>
      <c r="D162" s="33">
        <v>28.254</v>
      </c>
    </row>
    <row r="163">
      <c r="A163" s="32">
        <v>920.0</v>
      </c>
      <c r="B163" s="33">
        <v>-3883.8</v>
      </c>
      <c r="C163" s="33">
        <v>4283.355</v>
      </c>
      <c r="D163" s="33">
        <v>35.422</v>
      </c>
    </row>
    <row r="164">
      <c r="A164" s="32">
        <v>921.0</v>
      </c>
      <c r="B164" s="33">
        <v>-3880.62</v>
      </c>
      <c r="C164" s="33">
        <v>5485.997</v>
      </c>
      <c r="D164" s="33">
        <v>45.04</v>
      </c>
    </row>
    <row r="165">
      <c r="A165" s="32">
        <v>922.0</v>
      </c>
      <c r="B165" s="33">
        <v>-3878.741</v>
      </c>
      <c r="C165" s="33">
        <v>6686.656</v>
      </c>
      <c r="D165" s="33">
        <v>63.583</v>
      </c>
    </row>
    <row r="166">
      <c r="A166" s="32">
        <v>923.0</v>
      </c>
      <c r="B166" s="33">
        <v>-3879.361</v>
      </c>
      <c r="C166" s="33">
        <v>7884.1</v>
      </c>
      <c r="D166" s="33">
        <v>77.961</v>
      </c>
    </row>
    <row r="167">
      <c r="A167" s="32">
        <v>924.0</v>
      </c>
      <c r="B167" s="33">
        <v>-3879.543</v>
      </c>
      <c r="C167" s="33">
        <v>9096.103</v>
      </c>
      <c r="D167" s="33">
        <v>94.214</v>
      </c>
    </row>
    <row r="168">
      <c r="A168" s="32">
        <v>928.0</v>
      </c>
      <c r="B168" s="33">
        <v>-3998.423</v>
      </c>
      <c r="C168" s="33">
        <v>13759.719</v>
      </c>
      <c r="D168" s="33">
        <v>117.084</v>
      </c>
    </row>
    <row r="169">
      <c r="A169" s="32">
        <v>1001.0</v>
      </c>
      <c r="B169" s="33">
        <v>-2581.002</v>
      </c>
      <c r="C169" s="33">
        <v>-18390.122</v>
      </c>
      <c r="D169" s="33">
        <v>-26.185</v>
      </c>
    </row>
    <row r="170">
      <c r="A170" s="32">
        <v>1002.0</v>
      </c>
      <c r="B170" s="33">
        <v>-2720.305</v>
      </c>
      <c r="C170" s="33">
        <v>-17321.413</v>
      </c>
      <c r="D170" s="33">
        <v>-22.174</v>
      </c>
    </row>
    <row r="171">
      <c r="A171" s="32">
        <v>1003.0</v>
      </c>
      <c r="B171" s="33">
        <v>-2713.822</v>
      </c>
      <c r="C171" s="33">
        <v>-16076.64</v>
      </c>
      <c r="D171" s="33">
        <v>-17.604</v>
      </c>
    </row>
    <row r="172">
      <c r="A172" s="32">
        <v>1004.0</v>
      </c>
      <c r="B172" s="33">
        <v>-2705.301</v>
      </c>
      <c r="C172" s="33">
        <v>-14936.905</v>
      </c>
      <c r="D172" s="33">
        <v>-15.443</v>
      </c>
    </row>
    <row r="173">
      <c r="A173" s="32">
        <v>1005.0</v>
      </c>
      <c r="B173" s="33">
        <v>-2706.96</v>
      </c>
      <c r="C173" s="33">
        <v>-13729.544</v>
      </c>
      <c r="D173" s="33">
        <v>-10.843</v>
      </c>
    </row>
    <row r="174">
      <c r="A174" s="32">
        <v>1006.0</v>
      </c>
      <c r="B174" s="33">
        <v>-2710.003</v>
      </c>
      <c r="C174" s="33">
        <v>-12528.51</v>
      </c>
      <c r="D174" s="33">
        <v>-6.116</v>
      </c>
    </row>
    <row r="175">
      <c r="A175" s="32">
        <v>1007.0</v>
      </c>
      <c r="B175" s="33">
        <v>-2709.755</v>
      </c>
      <c r="C175" s="33">
        <v>-11309.816</v>
      </c>
      <c r="D175" s="33">
        <v>-2.723</v>
      </c>
    </row>
    <row r="176">
      <c r="A176" s="32">
        <v>1008.0</v>
      </c>
      <c r="B176" s="33">
        <v>-2708.568</v>
      </c>
      <c r="C176" s="33">
        <v>-10126.762</v>
      </c>
      <c r="D176" s="33">
        <v>-0.849</v>
      </c>
    </row>
    <row r="177">
      <c r="A177" s="32">
        <v>1009.0</v>
      </c>
      <c r="B177" s="33">
        <v>-2701.935</v>
      </c>
      <c r="C177" s="33">
        <v>-8927.72</v>
      </c>
      <c r="D177" s="33">
        <v>2.759</v>
      </c>
    </row>
    <row r="178">
      <c r="A178" s="32">
        <v>1010.0</v>
      </c>
      <c r="B178" s="33">
        <v>-2706.7</v>
      </c>
      <c r="C178" s="33">
        <v>-7719.233</v>
      </c>
      <c r="D178" s="33">
        <v>6.818</v>
      </c>
    </row>
    <row r="179">
      <c r="A179" s="32">
        <v>1011.0</v>
      </c>
      <c r="B179" s="33">
        <v>-2698.86</v>
      </c>
      <c r="C179" s="33">
        <v>-6520.627</v>
      </c>
      <c r="D179" s="33">
        <v>9.162</v>
      </c>
    </row>
    <row r="180">
      <c r="A180" s="32">
        <v>1012.0</v>
      </c>
      <c r="B180" s="33">
        <v>-2707.339</v>
      </c>
      <c r="C180" s="33">
        <v>-5320.569</v>
      </c>
      <c r="D180" s="33">
        <v>10.016</v>
      </c>
    </row>
    <row r="181">
      <c r="A181" s="32">
        <v>1013.0</v>
      </c>
      <c r="B181" s="33">
        <v>-2697.082</v>
      </c>
      <c r="C181" s="33">
        <v>-4120.072</v>
      </c>
      <c r="D181" s="33">
        <v>11.361</v>
      </c>
    </row>
    <row r="182">
      <c r="A182" s="32">
        <v>1014.0</v>
      </c>
      <c r="B182" s="33">
        <v>-2695.891</v>
      </c>
      <c r="C182" s="33">
        <v>-2920.123</v>
      </c>
      <c r="D182" s="33">
        <v>12.725</v>
      </c>
    </row>
    <row r="183">
      <c r="A183" s="32">
        <v>1015.0</v>
      </c>
      <c r="B183" s="33">
        <v>-2689.092</v>
      </c>
      <c r="C183" s="33">
        <v>-1716.401</v>
      </c>
      <c r="D183" s="33">
        <v>19.226</v>
      </c>
    </row>
    <row r="184">
      <c r="A184" s="32">
        <v>1016.0</v>
      </c>
      <c r="B184" s="33">
        <v>-2688.332</v>
      </c>
      <c r="C184" s="33">
        <v>-512.56</v>
      </c>
      <c r="D184" s="33">
        <v>19.428</v>
      </c>
    </row>
    <row r="185">
      <c r="A185" s="32">
        <v>1017.0</v>
      </c>
      <c r="B185" s="33">
        <v>-2689.043</v>
      </c>
      <c r="C185" s="33">
        <v>677.07</v>
      </c>
      <c r="D185" s="33">
        <v>17.042</v>
      </c>
    </row>
    <row r="186">
      <c r="A186" s="32">
        <v>1018.0</v>
      </c>
      <c r="B186" s="33">
        <v>-2688.198</v>
      </c>
      <c r="C186" s="33">
        <v>1876.584</v>
      </c>
      <c r="D186" s="33">
        <v>15.482</v>
      </c>
    </row>
    <row r="187">
      <c r="A187" s="32">
        <v>1019.0</v>
      </c>
      <c r="B187" s="33">
        <v>-2682.434</v>
      </c>
      <c r="C187" s="33">
        <v>3085.759</v>
      </c>
      <c r="D187" s="33">
        <v>14.693</v>
      </c>
    </row>
    <row r="188">
      <c r="A188" s="32">
        <v>1020.0</v>
      </c>
      <c r="B188" s="33">
        <v>-2686.508</v>
      </c>
      <c r="C188" s="33">
        <v>4284.395</v>
      </c>
      <c r="D188" s="33">
        <v>20.057</v>
      </c>
    </row>
    <row r="189">
      <c r="A189" s="32">
        <v>1021.0</v>
      </c>
      <c r="B189" s="33">
        <v>-2685.841</v>
      </c>
      <c r="C189" s="33">
        <v>5488.372</v>
      </c>
      <c r="D189" s="33">
        <v>35.012</v>
      </c>
    </row>
    <row r="190">
      <c r="A190" s="32">
        <v>1022.0</v>
      </c>
      <c r="B190" s="33">
        <v>-2679.313</v>
      </c>
      <c r="C190" s="33">
        <v>6680.688</v>
      </c>
      <c r="D190" s="33">
        <v>42.575</v>
      </c>
    </row>
    <row r="191">
      <c r="A191" s="32">
        <v>1023.0</v>
      </c>
      <c r="B191" s="33">
        <v>-2696.837</v>
      </c>
      <c r="C191" s="33">
        <v>7878.581</v>
      </c>
      <c r="D191" s="33">
        <v>59.397</v>
      </c>
    </row>
    <row r="192">
      <c r="A192" s="32">
        <v>1024.0</v>
      </c>
      <c r="B192" s="33">
        <v>-2676.946</v>
      </c>
      <c r="C192" s="33">
        <v>9086.453</v>
      </c>
      <c r="D192" s="33">
        <v>68.255</v>
      </c>
    </row>
    <row r="193">
      <c r="A193" s="32">
        <v>1025.0</v>
      </c>
      <c r="B193" s="33">
        <v>-2684.551</v>
      </c>
      <c r="C193" s="33">
        <v>10284.566</v>
      </c>
      <c r="D193" s="33">
        <v>75.038</v>
      </c>
    </row>
    <row r="194">
      <c r="A194" s="32">
        <v>1027.0</v>
      </c>
      <c r="B194" s="33">
        <v>-2774.132</v>
      </c>
      <c r="C194" s="33">
        <v>12582.784</v>
      </c>
      <c r="D194" s="33">
        <v>92.04</v>
      </c>
    </row>
    <row r="195">
      <c r="A195" s="32">
        <v>1028.0</v>
      </c>
      <c r="B195" s="33">
        <v>-2697.851</v>
      </c>
      <c r="C195" s="33">
        <v>13959.23</v>
      </c>
      <c r="D195" s="33">
        <v>98.421</v>
      </c>
    </row>
    <row r="196">
      <c r="A196" s="32">
        <v>1029.0</v>
      </c>
      <c r="B196" s="33">
        <v>-3093.814</v>
      </c>
      <c r="C196" s="33">
        <v>14991.626</v>
      </c>
      <c r="D196" s="33">
        <v>115.573</v>
      </c>
    </row>
    <row r="197">
      <c r="A197" s="32">
        <v>1101.0</v>
      </c>
      <c r="B197" s="33">
        <v>-1515.799</v>
      </c>
      <c r="C197" s="33">
        <v>-18533.646</v>
      </c>
      <c r="D197" s="33">
        <v>-25.42</v>
      </c>
    </row>
    <row r="198">
      <c r="A198" s="32">
        <v>1102.0</v>
      </c>
      <c r="B198" s="33">
        <v>-1701.526</v>
      </c>
      <c r="C198" s="33">
        <v>-17527.242</v>
      </c>
      <c r="D198" s="33">
        <v>-21.305</v>
      </c>
    </row>
    <row r="199">
      <c r="A199" s="32">
        <v>1103.0</v>
      </c>
      <c r="B199" s="33">
        <v>-1515.767</v>
      </c>
      <c r="C199" s="33">
        <v>-16125.822</v>
      </c>
      <c r="D199" s="33">
        <v>-17.232</v>
      </c>
    </row>
    <row r="200">
      <c r="A200" s="32">
        <v>1104.0</v>
      </c>
      <c r="B200" s="33">
        <v>-1513.72</v>
      </c>
      <c r="C200" s="33">
        <v>-14931.674</v>
      </c>
      <c r="D200" s="33">
        <v>-15.137</v>
      </c>
    </row>
    <row r="201">
      <c r="A201" s="32">
        <v>1105.0</v>
      </c>
      <c r="B201" s="33">
        <v>-1518.241</v>
      </c>
      <c r="C201" s="33">
        <v>-13721.201</v>
      </c>
      <c r="D201" s="33">
        <v>-12.062</v>
      </c>
    </row>
    <row r="202">
      <c r="A202" s="32">
        <v>1106.0</v>
      </c>
      <c r="B202" s="33">
        <v>-1508.504</v>
      </c>
      <c r="C202" s="33">
        <v>-12531.049</v>
      </c>
      <c r="D202" s="33">
        <v>-9.174</v>
      </c>
    </row>
    <row r="203">
      <c r="A203" s="32">
        <v>1107.0</v>
      </c>
      <c r="B203" s="33">
        <v>-1506.545</v>
      </c>
      <c r="C203" s="33">
        <v>-11328.014</v>
      </c>
      <c r="D203" s="33">
        <v>-4.968</v>
      </c>
    </row>
    <row r="204">
      <c r="A204" s="32">
        <v>1108.0</v>
      </c>
      <c r="B204" s="33">
        <v>-1501.821</v>
      </c>
      <c r="C204" s="33">
        <v>-10127.528</v>
      </c>
      <c r="D204" s="33">
        <v>-2.423</v>
      </c>
    </row>
    <row r="205">
      <c r="A205" s="32">
        <v>1109.0</v>
      </c>
      <c r="B205" s="33">
        <v>-1499.258</v>
      </c>
      <c r="C205" s="33">
        <v>-8924.817</v>
      </c>
      <c r="D205" s="33">
        <v>-0.702</v>
      </c>
    </row>
    <row r="206">
      <c r="A206" s="32">
        <v>1110.0</v>
      </c>
      <c r="B206" s="33">
        <v>-1498.771</v>
      </c>
      <c r="C206" s="33">
        <v>-7728.768</v>
      </c>
      <c r="D206" s="33">
        <v>2.394</v>
      </c>
    </row>
    <row r="207">
      <c r="A207" s="32">
        <v>1111.0</v>
      </c>
      <c r="B207" s="33">
        <v>-1499.577</v>
      </c>
      <c r="C207" s="33">
        <v>-6526.499</v>
      </c>
      <c r="D207" s="33">
        <v>6.251</v>
      </c>
    </row>
    <row r="208">
      <c r="A208" s="32">
        <v>1112.0</v>
      </c>
      <c r="B208" s="33">
        <v>-1498.31</v>
      </c>
      <c r="C208" s="33">
        <v>-5322.336</v>
      </c>
      <c r="D208" s="33">
        <v>7.052</v>
      </c>
    </row>
    <row r="209">
      <c r="A209" s="32">
        <v>1113.0</v>
      </c>
      <c r="B209" s="33">
        <v>-1493.678</v>
      </c>
      <c r="C209" s="33">
        <v>-4122.724</v>
      </c>
      <c r="D209" s="33">
        <v>8.794</v>
      </c>
    </row>
    <row r="210">
      <c r="A210" s="32">
        <v>1114.0</v>
      </c>
      <c r="B210" s="33">
        <v>-1494.656</v>
      </c>
      <c r="C210" s="33">
        <v>-2919.889</v>
      </c>
      <c r="D210" s="33">
        <v>10.269</v>
      </c>
    </row>
    <row r="211">
      <c r="A211" s="32">
        <v>1115.0</v>
      </c>
      <c r="B211" s="33">
        <v>-1491.666</v>
      </c>
      <c r="C211" s="33">
        <v>-1721.716</v>
      </c>
      <c r="D211" s="33">
        <v>11.367</v>
      </c>
    </row>
    <row r="212">
      <c r="A212" s="32">
        <v>1116.0</v>
      </c>
      <c r="B212" s="33">
        <v>-1491.523</v>
      </c>
      <c r="C212" s="33">
        <v>-518.21</v>
      </c>
      <c r="D212" s="33">
        <v>13.719</v>
      </c>
    </row>
    <row r="213">
      <c r="A213" s="32">
        <v>1117.0</v>
      </c>
      <c r="B213" s="33">
        <v>-1489.48</v>
      </c>
      <c r="C213" s="33">
        <v>682.412</v>
      </c>
      <c r="D213" s="33">
        <v>9.604</v>
      </c>
    </row>
    <row r="214">
      <c r="A214" s="32">
        <v>1118.0</v>
      </c>
      <c r="B214" s="33">
        <v>-1484.504</v>
      </c>
      <c r="C214" s="33">
        <v>1899.802</v>
      </c>
      <c r="D214" s="33">
        <v>9.318</v>
      </c>
    </row>
    <row r="215">
      <c r="A215" s="32">
        <v>1119.0</v>
      </c>
      <c r="B215" s="33">
        <v>-1485.831</v>
      </c>
      <c r="C215" s="33">
        <v>3082.882</v>
      </c>
      <c r="D215" s="33">
        <v>8.074</v>
      </c>
    </row>
    <row r="216">
      <c r="A216" s="32">
        <v>1120.0</v>
      </c>
      <c r="B216" s="33">
        <v>-1489.051</v>
      </c>
      <c r="C216" s="33">
        <v>4285.622</v>
      </c>
      <c r="D216" s="33">
        <v>9.437</v>
      </c>
    </row>
    <row r="217">
      <c r="A217" s="32">
        <v>1121.0</v>
      </c>
      <c r="B217" s="33">
        <v>-1483.48</v>
      </c>
      <c r="C217" s="33">
        <v>5476.819</v>
      </c>
      <c r="D217" s="33">
        <v>17.345</v>
      </c>
    </row>
    <row r="218">
      <c r="A218" s="32">
        <v>1122.0</v>
      </c>
      <c r="B218" s="33">
        <v>-1483.77</v>
      </c>
      <c r="C218" s="33">
        <v>6680.682</v>
      </c>
      <c r="D218" s="33">
        <v>24.434</v>
      </c>
    </row>
    <row r="219">
      <c r="A219" s="32">
        <v>1123.0</v>
      </c>
      <c r="B219" s="33">
        <v>-1473.457</v>
      </c>
      <c r="C219" s="33">
        <v>7888.879</v>
      </c>
      <c r="D219" s="33">
        <v>31.313</v>
      </c>
    </row>
    <row r="220">
      <c r="A220" s="32">
        <v>1124.0</v>
      </c>
      <c r="B220" s="33">
        <v>-1477.974</v>
      </c>
      <c r="C220" s="33">
        <v>9085.876</v>
      </c>
      <c r="D220" s="33">
        <v>43.756</v>
      </c>
    </row>
    <row r="221">
      <c r="A221" s="32">
        <v>1125.0</v>
      </c>
      <c r="B221" s="33">
        <v>-1479.558</v>
      </c>
      <c r="C221" s="33">
        <v>10287.095</v>
      </c>
      <c r="D221" s="33">
        <v>52.736</v>
      </c>
    </row>
    <row r="222">
      <c r="A222" s="32">
        <v>1126.0</v>
      </c>
      <c r="B222" s="33">
        <v>-1466.151</v>
      </c>
      <c r="C222" s="33">
        <v>11483.545</v>
      </c>
      <c r="D222" s="33">
        <v>63.693</v>
      </c>
    </row>
    <row r="223">
      <c r="A223" s="32">
        <v>1127.0</v>
      </c>
      <c r="B223" s="33">
        <v>-1571.123</v>
      </c>
      <c r="C223" s="33">
        <v>12607.731</v>
      </c>
      <c r="D223" s="33">
        <v>73.639</v>
      </c>
    </row>
    <row r="224">
      <c r="A224" s="32">
        <v>1128.0</v>
      </c>
      <c r="B224" s="33">
        <v>-1589.49</v>
      </c>
      <c r="C224" s="33">
        <v>13793.976</v>
      </c>
      <c r="D224" s="33">
        <v>80.314</v>
      </c>
    </row>
    <row r="225">
      <c r="A225" s="32">
        <v>1129.0</v>
      </c>
      <c r="B225" s="33">
        <v>-1667.274</v>
      </c>
      <c r="C225" s="33">
        <v>14959.456</v>
      </c>
      <c r="D225" s="33">
        <v>80.05</v>
      </c>
    </row>
    <row r="226">
      <c r="A226" s="32">
        <v>1130.0</v>
      </c>
      <c r="B226" s="33">
        <v>-1648.754</v>
      </c>
      <c r="C226" s="33">
        <v>16207.549</v>
      </c>
      <c r="D226" s="33">
        <v>83.178</v>
      </c>
    </row>
    <row r="227">
      <c r="A227" s="32">
        <v>1131.0</v>
      </c>
      <c r="B227" s="33">
        <v>-1534.001</v>
      </c>
      <c r="C227" s="33">
        <v>17396.975</v>
      </c>
      <c r="D227" s="33">
        <v>79.746</v>
      </c>
    </row>
    <row r="228">
      <c r="A228" s="32">
        <v>1201.0</v>
      </c>
      <c r="B228" s="33">
        <v>-313.121</v>
      </c>
      <c r="C228" s="33">
        <v>-18529.128</v>
      </c>
      <c r="D228" s="33">
        <v>-23.455</v>
      </c>
    </row>
    <row r="229">
      <c r="A229" s="32">
        <v>1202.0</v>
      </c>
      <c r="B229" s="33">
        <v>-107.702</v>
      </c>
      <c r="C229" s="33">
        <v>-17459.25</v>
      </c>
      <c r="D229" s="33">
        <v>-19.742</v>
      </c>
    </row>
    <row r="230">
      <c r="A230" s="32">
        <v>1203.0</v>
      </c>
      <c r="B230" s="33">
        <v>-312.939</v>
      </c>
      <c r="C230" s="33">
        <v>-16130.628</v>
      </c>
      <c r="D230" s="33">
        <v>-16.622</v>
      </c>
    </row>
    <row r="231">
      <c r="A231" s="32">
        <v>1204.0</v>
      </c>
      <c r="B231" s="33">
        <v>-300.443</v>
      </c>
      <c r="C231" s="33">
        <v>-14928.149</v>
      </c>
      <c r="D231" s="33">
        <v>-15.266</v>
      </c>
    </row>
    <row r="232">
      <c r="A232" s="32">
        <v>1205.0</v>
      </c>
      <c r="B232" s="33">
        <v>-307.486</v>
      </c>
      <c r="C232" s="33">
        <v>-13758.765</v>
      </c>
      <c r="D232" s="33">
        <v>-11.24</v>
      </c>
    </row>
    <row r="233">
      <c r="A233" s="32">
        <v>1206.0</v>
      </c>
      <c r="B233" s="33">
        <v>-302.944</v>
      </c>
      <c r="C233" s="33">
        <v>-12532.633</v>
      </c>
      <c r="D233" s="33">
        <v>-8.357</v>
      </c>
    </row>
    <row r="234">
      <c r="A234" s="32">
        <v>1207.0</v>
      </c>
      <c r="B234" s="33">
        <v>-306.872</v>
      </c>
      <c r="C234" s="33">
        <v>-11330.817</v>
      </c>
      <c r="D234" s="33">
        <v>-5.453</v>
      </c>
    </row>
    <row r="235">
      <c r="A235" s="32">
        <v>1208.0</v>
      </c>
      <c r="B235" s="33">
        <v>-297.495</v>
      </c>
      <c r="C235" s="33">
        <v>-10133.218</v>
      </c>
      <c r="D235" s="33">
        <v>-3.062</v>
      </c>
    </row>
    <row r="236">
      <c r="A236" s="32">
        <v>1209.0</v>
      </c>
      <c r="B236" s="33">
        <v>-302.459</v>
      </c>
      <c r="C236" s="33">
        <v>-8930.952</v>
      </c>
      <c r="D236" s="33">
        <v>-0.361</v>
      </c>
    </row>
    <row r="237">
      <c r="A237" s="32">
        <v>1210.0</v>
      </c>
      <c r="B237" s="33">
        <v>-302.24</v>
      </c>
      <c r="C237" s="33">
        <v>-7731.467</v>
      </c>
      <c r="D237" s="33">
        <v>7.919</v>
      </c>
    </row>
    <row r="238">
      <c r="A238" s="32">
        <v>1211.0</v>
      </c>
      <c r="B238" s="33">
        <v>-296.926</v>
      </c>
      <c r="C238" s="33">
        <v>-6523.194</v>
      </c>
      <c r="D238" s="33">
        <v>6.013</v>
      </c>
    </row>
    <row r="239">
      <c r="A239" s="32">
        <v>1212.0</v>
      </c>
      <c r="B239" s="33">
        <v>-299.384</v>
      </c>
      <c r="C239" s="33">
        <v>-5328.469</v>
      </c>
      <c r="D239" s="33">
        <v>5.736</v>
      </c>
    </row>
    <row r="240">
      <c r="A240" s="32">
        <v>1213.0</v>
      </c>
      <c r="B240" s="33">
        <v>-295.971</v>
      </c>
      <c r="C240" s="33">
        <v>-4122.416</v>
      </c>
      <c r="D240" s="33">
        <v>6.342</v>
      </c>
    </row>
    <row r="241">
      <c r="A241" s="32">
        <v>1214.0</v>
      </c>
      <c r="B241" s="33">
        <v>-290.92</v>
      </c>
      <c r="C241" s="33">
        <v>-2923.358</v>
      </c>
      <c r="D241" s="33">
        <v>10.776</v>
      </c>
    </row>
    <row r="242">
      <c r="A242" s="32">
        <v>1215.0</v>
      </c>
      <c r="B242" s="33">
        <v>-290.098</v>
      </c>
      <c r="C242" s="33">
        <v>-1725.516</v>
      </c>
      <c r="D242" s="33">
        <v>7.293</v>
      </c>
    </row>
    <row r="243">
      <c r="A243" s="32">
        <v>1216.0</v>
      </c>
      <c r="B243" s="33">
        <v>-289.104</v>
      </c>
      <c r="C243" s="33">
        <v>-515.126</v>
      </c>
      <c r="D243" s="33">
        <v>6.567</v>
      </c>
    </row>
    <row r="244">
      <c r="A244" s="32">
        <v>1217.0</v>
      </c>
      <c r="B244" s="33">
        <v>-290.268</v>
      </c>
      <c r="C244" s="33">
        <v>674.057</v>
      </c>
      <c r="D244" s="33">
        <v>6.242</v>
      </c>
    </row>
    <row r="245">
      <c r="A245" s="32">
        <v>1218.0</v>
      </c>
      <c r="B245" s="33">
        <v>-285.91</v>
      </c>
      <c r="C245" s="33">
        <v>1881.121</v>
      </c>
      <c r="D245" s="33">
        <v>6.77</v>
      </c>
    </row>
    <row r="246">
      <c r="A246" s="32">
        <v>1219.0</v>
      </c>
      <c r="B246" s="33">
        <v>-278.966</v>
      </c>
      <c r="C246" s="33">
        <v>3080.746</v>
      </c>
      <c r="D246" s="33">
        <v>6.242</v>
      </c>
    </row>
    <row r="247">
      <c r="A247" s="32">
        <v>1220.0</v>
      </c>
      <c r="B247" s="33">
        <v>-278.923</v>
      </c>
      <c r="C247" s="33">
        <v>4279.374</v>
      </c>
      <c r="D247" s="33">
        <v>5.439</v>
      </c>
    </row>
    <row r="248">
      <c r="A248" s="32">
        <v>1221.0</v>
      </c>
      <c r="B248" s="33">
        <v>-283.967</v>
      </c>
      <c r="C248" s="33">
        <v>5486.779</v>
      </c>
      <c r="D248" s="33">
        <v>6.232</v>
      </c>
    </row>
    <row r="249">
      <c r="A249" s="32">
        <v>1222.0</v>
      </c>
      <c r="B249" s="33">
        <v>-268.838</v>
      </c>
      <c r="C249" s="33">
        <v>6681.643</v>
      </c>
      <c r="D249" s="33">
        <v>12.17</v>
      </c>
    </row>
    <row r="250">
      <c r="A250" s="32">
        <v>1223.0</v>
      </c>
      <c r="B250" s="33">
        <v>-275.692</v>
      </c>
      <c r="C250" s="33">
        <v>7887.84</v>
      </c>
      <c r="D250" s="33">
        <v>18.189</v>
      </c>
    </row>
    <row r="251">
      <c r="A251" s="32">
        <v>1224.0</v>
      </c>
      <c r="B251" s="33">
        <v>-271.513</v>
      </c>
      <c r="C251" s="33">
        <v>9091.158</v>
      </c>
      <c r="D251" s="33">
        <v>27.123</v>
      </c>
    </row>
    <row r="252">
      <c r="A252" s="32">
        <v>1225.0</v>
      </c>
      <c r="B252" s="33">
        <v>-277.159</v>
      </c>
      <c r="C252" s="33">
        <v>10284.268</v>
      </c>
      <c r="D252" s="33">
        <v>36.546</v>
      </c>
    </row>
    <row r="253">
      <c r="A253" s="32">
        <v>1226.0</v>
      </c>
      <c r="B253" s="33">
        <v>-275.824</v>
      </c>
      <c r="C253" s="33">
        <v>11487.266</v>
      </c>
      <c r="D253" s="33">
        <v>45.908</v>
      </c>
    </row>
    <row r="254">
      <c r="A254" s="32">
        <v>1229.0</v>
      </c>
      <c r="B254" s="33">
        <v>-423.131</v>
      </c>
      <c r="C254" s="33">
        <v>15030.205</v>
      </c>
      <c r="D254" s="33">
        <v>61.217</v>
      </c>
    </row>
    <row r="255">
      <c r="A255" s="32">
        <v>1301.0</v>
      </c>
      <c r="B255" s="33">
        <v>872.953</v>
      </c>
      <c r="C255" s="33">
        <v>-18550.517</v>
      </c>
      <c r="D255" s="33">
        <v>-23.489</v>
      </c>
    </row>
    <row r="256">
      <c r="A256" s="32">
        <v>1302.0</v>
      </c>
      <c r="B256" s="33">
        <v>885.967</v>
      </c>
      <c r="C256" s="33">
        <v>-17383.698</v>
      </c>
      <c r="D256" s="33">
        <v>-17.626</v>
      </c>
    </row>
    <row r="257">
      <c r="A257" s="32">
        <v>1303.0</v>
      </c>
      <c r="B257" s="33">
        <v>887.469</v>
      </c>
      <c r="C257" s="33">
        <v>-16137.691</v>
      </c>
      <c r="D257" s="33">
        <v>-16.454</v>
      </c>
    </row>
    <row r="258">
      <c r="A258" s="32">
        <v>1304.0</v>
      </c>
      <c r="B258" s="33">
        <v>890.531</v>
      </c>
      <c r="C258" s="33">
        <v>-14932.439</v>
      </c>
      <c r="D258" s="33">
        <v>-13.481</v>
      </c>
    </row>
    <row r="259">
      <c r="A259" s="32">
        <v>1305.0</v>
      </c>
      <c r="B259" s="33">
        <v>870.516</v>
      </c>
      <c r="C259" s="33">
        <v>-13742.4</v>
      </c>
      <c r="D259" s="33">
        <v>-10.927</v>
      </c>
    </row>
    <row r="260">
      <c r="A260" s="32">
        <v>1306.0</v>
      </c>
      <c r="B260" s="33">
        <v>933.036</v>
      </c>
      <c r="C260" s="33">
        <v>-12523.036</v>
      </c>
      <c r="D260" s="33">
        <v>-7.279</v>
      </c>
    </row>
    <row r="261">
      <c r="A261" s="32">
        <v>1307.0</v>
      </c>
      <c r="B261" s="33">
        <v>931.595</v>
      </c>
      <c r="C261" s="33">
        <v>-11311.334</v>
      </c>
      <c r="D261" s="33">
        <v>-6.049</v>
      </c>
    </row>
    <row r="262">
      <c r="A262" s="32">
        <v>1308.0</v>
      </c>
      <c r="B262" s="33">
        <v>894.219</v>
      </c>
      <c r="C262" s="33">
        <v>-10129.508</v>
      </c>
      <c r="D262" s="33">
        <v>-3.212</v>
      </c>
    </row>
    <row r="263">
      <c r="A263" s="32">
        <v>1309.0</v>
      </c>
      <c r="B263" s="33">
        <v>897.106</v>
      </c>
      <c r="C263" s="33">
        <v>-8936.902</v>
      </c>
      <c r="D263" s="33">
        <v>-1.136</v>
      </c>
    </row>
    <row r="264">
      <c r="A264" s="32">
        <v>1310.0</v>
      </c>
      <c r="B264" s="33">
        <v>897.314</v>
      </c>
      <c r="C264" s="33">
        <v>-7732.301</v>
      </c>
      <c r="D264" s="33">
        <v>0.622</v>
      </c>
    </row>
    <row r="265">
      <c r="A265" s="32">
        <v>1311.0</v>
      </c>
      <c r="B265" s="33">
        <v>906.157</v>
      </c>
      <c r="C265" s="33">
        <v>-6528.586</v>
      </c>
      <c r="D265" s="33">
        <v>3.27</v>
      </c>
    </row>
    <row r="266">
      <c r="A266" s="32">
        <v>1312.0</v>
      </c>
      <c r="B266" s="33">
        <v>904.378</v>
      </c>
      <c r="C266" s="33">
        <v>-5333.862</v>
      </c>
      <c r="D266" s="33">
        <v>4.304</v>
      </c>
    </row>
    <row r="267">
      <c r="A267" s="32">
        <v>1313.0</v>
      </c>
      <c r="B267" s="33">
        <v>902.253</v>
      </c>
      <c r="C267" s="33">
        <v>-4128.698</v>
      </c>
      <c r="D267" s="33">
        <v>5.321</v>
      </c>
    </row>
    <row r="268">
      <c r="A268" s="32">
        <v>1314.0</v>
      </c>
      <c r="B268" s="33">
        <v>909.71</v>
      </c>
      <c r="C268" s="33">
        <v>-2927.417</v>
      </c>
      <c r="D268" s="33">
        <v>5.366</v>
      </c>
    </row>
    <row r="269">
      <c r="A269" s="32">
        <v>1315.0</v>
      </c>
      <c r="B269" s="33">
        <v>908.448</v>
      </c>
      <c r="C269" s="33">
        <v>-1724.802</v>
      </c>
      <c r="D269" s="33">
        <v>5.296</v>
      </c>
    </row>
    <row r="270">
      <c r="A270" s="32">
        <v>1316.0</v>
      </c>
      <c r="B270" s="33">
        <v>910.638</v>
      </c>
      <c r="C270" s="33">
        <v>-522.74</v>
      </c>
      <c r="D270" s="33">
        <v>5.898</v>
      </c>
    </row>
    <row r="271">
      <c r="A271" s="32">
        <v>1317.0</v>
      </c>
      <c r="B271" s="33">
        <v>914.121</v>
      </c>
      <c r="C271" s="33">
        <v>679.213</v>
      </c>
      <c r="D271" s="33">
        <v>6.082</v>
      </c>
    </row>
    <row r="272">
      <c r="A272" s="32">
        <v>1318.0</v>
      </c>
      <c r="B272" s="33">
        <v>914.412</v>
      </c>
      <c r="C272" s="33">
        <v>1877.948</v>
      </c>
      <c r="D272" s="33">
        <v>5.941</v>
      </c>
    </row>
    <row r="273">
      <c r="A273" s="32">
        <v>1319.0</v>
      </c>
      <c r="B273" s="33">
        <v>916.255</v>
      </c>
      <c r="C273" s="33">
        <v>3073.91</v>
      </c>
      <c r="D273" s="33">
        <v>5.816</v>
      </c>
    </row>
    <row r="274">
      <c r="A274" s="32">
        <v>1320.0</v>
      </c>
      <c r="B274" s="33">
        <v>920.683</v>
      </c>
      <c r="C274" s="33">
        <v>4290.416</v>
      </c>
      <c r="D274" s="33">
        <v>3.221</v>
      </c>
    </row>
    <row r="275">
      <c r="A275" s="32">
        <v>1321.0</v>
      </c>
      <c r="B275" s="33">
        <v>918.386</v>
      </c>
      <c r="C275" s="33">
        <v>5480.273</v>
      </c>
      <c r="D275" s="33">
        <v>2.188</v>
      </c>
    </row>
    <row r="276">
      <c r="A276" s="32">
        <v>1322.0</v>
      </c>
      <c r="B276" s="33">
        <v>915.573</v>
      </c>
      <c r="C276" s="33">
        <v>6678.794</v>
      </c>
      <c r="D276" s="33">
        <v>1.373</v>
      </c>
    </row>
    <row r="277">
      <c r="A277" s="32">
        <v>1323.0</v>
      </c>
      <c r="B277" s="33">
        <v>918.88</v>
      </c>
      <c r="C277" s="33">
        <v>7887.876</v>
      </c>
      <c r="D277" s="33">
        <v>7.828</v>
      </c>
    </row>
    <row r="278">
      <c r="A278" s="32">
        <v>1324.0</v>
      </c>
      <c r="B278" s="33">
        <v>931.236</v>
      </c>
      <c r="C278" s="33">
        <v>9082.086</v>
      </c>
      <c r="D278" s="33">
        <v>14.834</v>
      </c>
    </row>
    <row r="279">
      <c r="A279" s="32">
        <v>1325.0</v>
      </c>
      <c r="B279" s="33">
        <v>921.874</v>
      </c>
      <c r="C279" s="33">
        <v>10284.962</v>
      </c>
      <c r="D279" s="33">
        <v>23.215</v>
      </c>
    </row>
    <row r="280">
      <c r="A280" s="32">
        <v>1326.0</v>
      </c>
      <c r="B280" s="33">
        <v>938.619</v>
      </c>
      <c r="C280" s="33">
        <v>11484.398</v>
      </c>
      <c r="D280" s="33">
        <v>27.91</v>
      </c>
    </row>
    <row r="281">
      <c r="A281" s="32">
        <v>1327.0</v>
      </c>
      <c r="B281" s="33">
        <v>1051.77</v>
      </c>
      <c r="C281" s="33">
        <v>12548.486</v>
      </c>
      <c r="D281" s="33">
        <v>33.483</v>
      </c>
    </row>
    <row r="282">
      <c r="A282" s="32">
        <v>1401.0</v>
      </c>
      <c r="B282" s="33">
        <v>2087.048</v>
      </c>
      <c r="C282" s="33">
        <v>-18540.415</v>
      </c>
      <c r="D282" s="33">
        <v>-20.171</v>
      </c>
    </row>
    <row r="283">
      <c r="A283" s="32">
        <v>1402.0</v>
      </c>
      <c r="B283" s="33">
        <v>2088.298</v>
      </c>
      <c r="C283" s="33">
        <v>-17388.134</v>
      </c>
      <c r="D283" s="33">
        <v>-17.668</v>
      </c>
    </row>
    <row r="284">
      <c r="A284" s="32">
        <v>1403.0</v>
      </c>
      <c r="B284" s="33">
        <v>2089.142</v>
      </c>
      <c r="C284" s="33">
        <v>-16013.762</v>
      </c>
      <c r="D284" s="33">
        <v>-16.181</v>
      </c>
    </row>
    <row r="285">
      <c r="A285" s="32">
        <v>1404.0</v>
      </c>
      <c r="B285" s="33">
        <v>2091.395</v>
      </c>
      <c r="C285" s="33">
        <v>-14739.55</v>
      </c>
      <c r="D285" s="33">
        <v>-14.022</v>
      </c>
    </row>
    <row r="286">
      <c r="A286" s="32">
        <v>1405.0</v>
      </c>
      <c r="B286" s="33">
        <v>2070.051</v>
      </c>
      <c r="C286" s="33">
        <v>-13782.151</v>
      </c>
      <c r="D286" s="33">
        <v>-10.529</v>
      </c>
    </row>
    <row r="287">
      <c r="A287" s="32">
        <v>1406.0</v>
      </c>
      <c r="B287" s="33">
        <v>2089.599</v>
      </c>
      <c r="C287" s="33">
        <v>-12539.802</v>
      </c>
      <c r="D287" s="33">
        <v>-7.335</v>
      </c>
    </row>
    <row r="288">
      <c r="A288" s="32">
        <v>1407.0</v>
      </c>
      <c r="B288" s="33">
        <v>2093.858</v>
      </c>
      <c r="C288" s="33">
        <v>-11334.652</v>
      </c>
      <c r="D288" s="33">
        <v>-5.266</v>
      </c>
    </row>
    <row r="289">
      <c r="A289" s="32">
        <v>1408.0</v>
      </c>
      <c r="B289" s="33">
        <v>2122.311</v>
      </c>
      <c r="C289" s="33">
        <v>-10153.923</v>
      </c>
      <c r="D289" s="33">
        <v>-3.081</v>
      </c>
    </row>
    <row r="290">
      <c r="A290" s="32">
        <v>1409.0</v>
      </c>
      <c r="B290" s="33">
        <v>2107.81</v>
      </c>
      <c r="C290" s="33">
        <v>-8919.235</v>
      </c>
      <c r="D290" s="33">
        <v>-1.296</v>
      </c>
    </row>
    <row r="291">
      <c r="A291" s="32">
        <v>1410.0</v>
      </c>
      <c r="B291" s="33">
        <v>2093.85</v>
      </c>
      <c r="C291" s="33">
        <v>-7752.949</v>
      </c>
      <c r="D291" s="33">
        <v>1.457</v>
      </c>
    </row>
    <row r="292">
      <c r="A292" s="32">
        <v>1411.0</v>
      </c>
      <c r="B292" s="33">
        <v>2100.948</v>
      </c>
      <c r="C292" s="33">
        <v>-6527.465</v>
      </c>
      <c r="D292" s="33">
        <v>1.2</v>
      </c>
    </row>
    <row r="293">
      <c r="A293" s="32">
        <v>1412.0</v>
      </c>
      <c r="B293" s="33">
        <v>2126.274</v>
      </c>
      <c r="C293" s="33">
        <v>-5344.062</v>
      </c>
      <c r="D293" s="33">
        <v>2.566</v>
      </c>
    </row>
    <row r="294">
      <c r="A294" s="32">
        <v>1413.0</v>
      </c>
      <c r="B294" s="33">
        <v>2253.584</v>
      </c>
      <c r="C294" s="33">
        <v>-3998.28</v>
      </c>
      <c r="D294" s="33">
        <v>2.77</v>
      </c>
    </row>
    <row r="295">
      <c r="A295" s="32">
        <v>1414.0</v>
      </c>
      <c r="B295" s="33">
        <v>2106.108</v>
      </c>
      <c r="C295" s="33">
        <v>-2924.631</v>
      </c>
      <c r="D295" s="33">
        <v>3.315</v>
      </c>
    </row>
    <row r="296">
      <c r="A296" s="32">
        <v>1415.0</v>
      </c>
      <c r="B296" s="33">
        <v>2114.76</v>
      </c>
      <c r="C296" s="33">
        <v>-1723.791</v>
      </c>
      <c r="D296" s="33">
        <v>3.68</v>
      </c>
    </row>
    <row r="297">
      <c r="A297" s="32">
        <v>1416.0</v>
      </c>
      <c r="B297" s="33">
        <v>2109.777</v>
      </c>
      <c r="C297" s="33">
        <v>-530.503</v>
      </c>
      <c r="D297" s="33">
        <v>3.653</v>
      </c>
    </row>
    <row r="298">
      <c r="A298" s="32">
        <v>1417.0</v>
      </c>
      <c r="B298" s="33">
        <v>2107.812</v>
      </c>
      <c r="C298" s="33">
        <v>676.335</v>
      </c>
      <c r="D298" s="33">
        <v>3.49</v>
      </c>
    </row>
    <row r="299">
      <c r="A299" s="32">
        <v>1418.0</v>
      </c>
      <c r="B299" s="33">
        <v>2109.904</v>
      </c>
      <c r="C299" s="33">
        <v>1872.849</v>
      </c>
      <c r="D299" s="33">
        <v>3.81</v>
      </c>
    </row>
    <row r="300">
      <c r="A300" s="32">
        <v>1419.0</v>
      </c>
      <c r="B300" s="33">
        <v>2101.985</v>
      </c>
      <c r="C300" s="33">
        <v>3087.463</v>
      </c>
      <c r="D300" s="33">
        <v>1.829</v>
      </c>
    </row>
    <row r="301">
      <c r="A301" s="32">
        <v>1420.0</v>
      </c>
      <c r="B301" s="33">
        <v>2112.183</v>
      </c>
      <c r="C301" s="33">
        <v>4284.983</v>
      </c>
      <c r="D301" s="33">
        <v>1.462</v>
      </c>
    </row>
    <row r="302">
      <c r="A302" s="32">
        <v>1421.0</v>
      </c>
      <c r="B302" s="33">
        <v>2124.361</v>
      </c>
      <c r="C302" s="33">
        <v>5479.397</v>
      </c>
      <c r="D302" s="33">
        <v>0.851</v>
      </c>
    </row>
    <row r="303">
      <c r="A303" s="32">
        <v>1422.0</v>
      </c>
      <c r="B303" s="33">
        <v>2122.655</v>
      </c>
      <c r="C303" s="33">
        <v>6681.916</v>
      </c>
      <c r="D303" s="33">
        <v>1.063</v>
      </c>
    </row>
    <row r="304">
      <c r="A304" s="32">
        <v>1423.0</v>
      </c>
      <c r="B304" s="33">
        <v>2119.224</v>
      </c>
      <c r="C304" s="33">
        <v>7888.215</v>
      </c>
      <c r="D304" s="33">
        <v>2.103</v>
      </c>
    </row>
    <row r="305">
      <c r="A305" s="32">
        <v>1424.0</v>
      </c>
      <c r="B305" s="33">
        <v>2121.053</v>
      </c>
      <c r="C305" s="33">
        <v>9090.191</v>
      </c>
      <c r="D305" s="33">
        <v>6.338</v>
      </c>
    </row>
    <row r="306">
      <c r="A306" s="32">
        <v>1425.0</v>
      </c>
      <c r="B306" s="33">
        <v>2126.418</v>
      </c>
      <c r="C306" s="33">
        <v>10281.293</v>
      </c>
      <c r="D306" s="33">
        <v>12.053</v>
      </c>
    </row>
    <row r="307">
      <c r="A307" s="32">
        <v>1426.0</v>
      </c>
      <c r="B307" s="33">
        <v>2133.16</v>
      </c>
      <c r="C307" s="33">
        <v>11477.298</v>
      </c>
      <c r="D307" s="33">
        <v>24.186</v>
      </c>
    </row>
    <row r="308">
      <c r="A308" s="32">
        <v>1427.0</v>
      </c>
      <c r="B308" s="33">
        <v>2142.145</v>
      </c>
      <c r="C308" s="33">
        <v>12664.551</v>
      </c>
      <c r="D308" s="33">
        <v>42.25</v>
      </c>
    </row>
    <row r="309">
      <c r="A309" s="32">
        <v>1428.0</v>
      </c>
      <c r="B309" s="33">
        <v>2140.104</v>
      </c>
      <c r="C309" s="33">
        <v>13859.39</v>
      </c>
      <c r="D309" s="33">
        <v>73.651</v>
      </c>
    </row>
    <row r="310">
      <c r="A310" s="32">
        <v>1501.0</v>
      </c>
      <c r="B310" s="33">
        <v>3288.952</v>
      </c>
      <c r="C310" s="33">
        <v>-18542.571</v>
      </c>
      <c r="D310" s="33">
        <v>-15.763</v>
      </c>
    </row>
    <row r="311">
      <c r="A311" s="32">
        <v>1502.0</v>
      </c>
      <c r="B311" s="33">
        <v>3283.949</v>
      </c>
      <c r="C311" s="33">
        <v>-17341.418</v>
      </c>
      <c r="D311" s="33">
        <v>-18.173</v>
      </c>
    </row>
    <row r="312">
      <c r="A312" s="32">
        <v>1503.0</v>
      </c>
      <c r="B312" s="33">
        <v>3163.304</v>
      </c>
      <c r="C312" s="33">
        <v>-16231.601</v>
      </c>
      <c r="D312" s="33">
        <v>-16.374</v>
      </c>
    </row>
    <row r="313">
      <c r="A313" s="32">
        <v>1504.0</v>
      </c>
      <c r="B313" s="33">
        <v>3317.615</v>
      </c>
      <c r="C313" s="33">
        <v>-14953.888</v>
      </c>
      <c r="D313" s="33">
        <v>-12.471</v>
      </c>
    </row>
    <row r="314">
      <c r="A314" s="32">
        <v>1505.0</v>
      </c>
      <c r="B314" s="33">
        <v>3311.827</v>
      </c>
      <c r="C314" s="33">
        <v>-13734.422</v>
      </c>
      <c r="D314" s="33">
        <v>-10.119</v>
      </c>
    </row>
    <row r="315">
      <c r="A315" s="32">
        <v>1506.0</v>
      </c>
      <c r="B315" s="33">
        <v>3294.035</v>
      </c>
      <c r="C315" s="33">
        <v>-12533.28</v>
      </c>
      <c r="D315" s="33">
        <v>-8.16</v>
      </c>
    </row>
    <row r="316">
      <c r="A316" s="32">
        <v>1507.0</v>
      </c>
      <c r="B316" s="33">
        <v>3297.333</v>
      </c>
      <c r="C316" s="33">
        <v>-11333.571</v>
      </c>
      <c r="D316" s="33">
        <v>-5.711</v>
      </c>
    </row>
    <row r="317">
      <c r="A317" s="32">
        <v>1508.0</v>
      </c>
      <c r="B317" s="33">
        <v>3287.665</v>
      </c>
      <c r="C317" s="33">
        <v>-10122.983</v>
      </c>
      <c r="D317" s="33">
        <v>-3.495</v>
      </c>
    </row>
    <row r="318">
      <c r="A318" s="32">
        <v>1509.0</v>
      </c>
      <c r="B318" s="33">
        <v>3331.065</v>
      </c>
      <c r="C318" s="33">
        <v>-8974.997</v>
      </c>
      <c r="D318" s="33">
        <v>-1.975</v>
      </c>
    </row>
    <row r="319">
      <c r="A319" s="32">
        <v>1510.0</v>
      </c>
      <c r="B319" s="33">
        <v>3300.136</v>
      </c>
      <c r="C319" s="33">
        <v>-7736.429</v>
      </c>
      <c r="D319" s="33">
        <v>-1.232</v>
      </c>
    </row>
    <row r="320">
      <c r="A320" s="32">
        <v>1511.0</v>
      </c>
      <c r="B320" s="33">
        <v>3305.157</v>
      </c>
      <c r="C320" s="33">
        <v>-6537.043</v>
      </c>
      <c r="D320" s="33">
        <v>1.341</v>
      </c>
    </row>
    <row r="321">
      <c r="A321" s="32">
        <v>1512.0</v>
      </c>
      <c r="B321" s="33">
        <v>3306.807</v>
      </c>
      <c r="C321" s="33">
        <v>-5332.991</v>
      </c>
      <c r="D321" s="33">
        <v>1.333</v>
      </c>
    </row>
    <row r="322">
      <c r="A322" s="32">
        <v>1513.0</v>
      </c>
      <c r="B322" s="33">
        <v>3242.836</v>
      </c>
      <c r="C322" s="33">
        <v>-4104.089</v>
      </c>
      <c r="D322" s="33">
        <v>1.347</v>
      </c>
    </row>
    <row r="323">
      <c r="A323" s="32">
        <v>1514.0</v>
      </c>
      <c r="B323" s="33">
        <v>3306.394</v>
      </c>
      <c r="C323" s="33">
        <v>-2930.1</v>
      </c>
      <c r="D323" s="33">
        <v>2.164</v>
      </c>
    </row>
    <row r="324">
      <c r="A324" s="32">
        <v>1515.0</v>
      </c>
      <c r="B324" s="33">
        <v>3327.721</v>
      </c>
      <c r="C324" s="33">
        <v>-1730.697</v>
      </c>
      <c r="D324" s="33">
        <v>3.112</v>
      </c>
    </row>
    <row r="325">
      <c r="A325" s="32">
        <v>1516.0</v>
      </c>
      <c r="B325" s="33">
        <v>3314.437</v>
      </c>
      <c r="C325" s="33">
        <v>-526.531</v>
      </c>
      <c r="D325" s="33">
        <v>3.692</v>
      </c>
    </row>
    <row r="326">
      <c r="A326" s="32">
        <v>1517.0</v>
      </c>
      <c r="B326" s="33">
        <v>3320.394</v>
      </c>
      <c r="C326" s="33">
        <v>681.976</v>
      </c>
      <c r="D326" s="33">
        <v>2.755</v>
      </c>
    </row>
    <row r="327">
      <c r="A327" s="32">
        <v>1518.0</v>
      </c>
      <c r="B327" s="33">
        <v>3321.526</v>
      </c>
      <c r="C327" s="33">
        <v>1873.826</v>
      </c>
      <c r="D327" s="33">
        <v>2.815</v>
      </c>
    </row>
    <row r="328">
      <c r="A328" s="32">
        <v>1519.0</v>
      </c>
      <c r="B328" s="33">
        <v>3045.283</v>
      </c>
      <c r="C328" s="33">
        <v>3068.23</v>
      </c>
      <c r="D328" s="33">
        <v>2.248</v>
      </c>
    </row>
    <row r="329">
      <c r="A329" s="32">
        <v>1520.0</v>
      </c>
      <c r="B329" s="33">
        <v>3325.161</v>
      </c>
      <c r="C329" s="33">
        <v>4273.08</v>
      </c>
      <c r="D329" s="33">
        <v>1.754</v>
      </c>
    </row>
    <row r="330">
      <c r="A330" s="32">
        <v>1521.0</v>
      </c>
      <c r="B330" s="33">
        <v>3315.604</v>
      </c>
      <c r="C330" s="33">
        <v>5454.716</v>
      </c>
      <c r="D330" s="33">
        <v>0.815</v>
      </c>
    </row>
    <row r="331">
      <c r="A331" s="32">
        <v>1522.0</v>
      </c>
      <c r="B331" s="33">
        <v>3332.759</v>
      </c>
      <c r="C331" s="33">
        <v>6671.791</v>
      </c>
      <c r="D331" s="33">
        <v>1.977</v>
      </c>
    </row>
    <row r="332">
      <c r="A332" s="32">
        <v>1523.0</v>
      </c>
      <c r="B332" s="33">
        <v>3322.763</v>
      </c>
      <c r="C332" s="33">
        <v>7878.754</v>
      </c>
      <c r="D332" s="33">
        <v>3.822</v>
      </c>
    </row>
    <row r="333">
      <c r="A333" s="32">
        <v>1524.0</v>
      </c>
      <c r="B333" s="33">
        <v>3306.663</v>
      </c>
      <c r="C333" s="33">
        <v>9057.623</v>
      </c>
      <c r="D333" s="33">
        <v>5.771</v>
      </c>
    </row>
    <row r="334">
      <c r="A334" s="32">
        <v>1525.0</v>
      </c>
      <c r="B334" s="33">
        <v>3320.708</v>
      </c>
      <c r="C334" s="33">
        <v>10281.596</v>
      </c>
      <c r="D334" s="33">
        <v>9.363</v>
      </c>
    </row>
    <row r="335">
      <c r="A335" s="32">
        <v>1526.0</v>
      </c>
      <c r="B335" s="33">
        <v>3333.386</v>
      </c>
      <c r="C335" s="33">
        <v>11472.71</v>
      </c>
      <c r="D335" s="33">
        <v>16.921</v>
      </c>
    </row>
    <row r="336">
      <c r="A336" s="32">
        <v>1527.0</v>
      </c>
      <c r="B336" s="33">
        <v>3326.431</v>
      </c>
      <c r="C336" s="33">
        <v>12685.663</v>
      </c>
      <c r="D336" s="33">
        <v>62.562</v>
      </c>
    </row>
    <row r="337">
      <c r="A337" s="32">
        <v>1528.0</v>
      </c>
      <c r="B337" s="33">
        <v>3331.18</v>
      </c>
      <c r="C337" s="33">
        <v>13874.565</v>
      </c>
      <c r="D337" s="33">
        <v>67.178</v>
      </c>
    </row>
    <row r="338">
      <c r="A338" s="32">
        <v>1601.0</v>
      </c>
      <c r="B338" s="33">
        <v>4485.492</v>
      </c>
      <c r="C338" s="33">
        <v>-18544.414</v>
      </c>
      <c r="D338" s="33">
        <v>-18.247</v>
      </c>
    </row>
    <row r="339">
      <c r="A339" s="32">
        <v>1602.0</v>
      </c>
      <c r="B339" s="33">
        <v>4488.088</v>
      </c>
      <c r="C339" s="33">
        <v>-17340.601</v>
      </c>
      <c r="D339" s="33">
        <v>-17.934</v>
      </c>
    </row>
    <row r="340">
      <c r="A340" s="32">
        <v>1603.0</v>
      </c>
      <c r="B340" s="33">
        <v>4490.86</v>
      </c>
      <c r="C340" s="33">
        <v>-16142.339</v>
      </c>
      <c r="D340" s="33">
        <v>-17.192</v>
      </c>
    </row>
    <row r="341">
      <c r="A341" s="32">
        <v>1604.0</v>
      </c>
      <c r="B341" s="33">
        <v>4493.713</v>
      </c>
      <c r="C341" s="33">
        <v>-14934.534</v>
      </c>
      <c r="D341" s="33">
        <v>-13.515</v>
      </c>
    </row>
    <row r="342">
      <c r="A342" s="32">
        <v>1605.0</v>
      </c>
      <c r="B342" s="33">
        <v>4492.076</v>
      </c>
      <c r="C342" s="33">
        <v>-13739.492</v>
      </c>
      <c r="D342" s="33">
        <v>-12.761</v>
      </c>
    </row>
    <row r="343">
      <c r="A343" s="32">
        <v>1606.0</v>
      </c>
      <c r="B343" s="33">
        <v>4495.536</v>
      </c>
      <c r="C343" s="33">
        <v>-12537.345</v>
      </c>
      <c r="D343" s="33">
        <v>-9.041</v>
      </c>
    </row>
    <row r="344">
      <c r="A344" s="32">
        <v>1607.0</v>
      </c>
      <c r="B344" s="33">
        <v>4497.529</v>
      </c>
      <c r="C344" s="33">
        <v>-11339.747</v>
      </c>
      <c r="D344" s="33">
        <v>-5.965</v>
      </c>
    </row>
    <row r="345">
      <c r="A345" s="32">
        <v>1608.0</v>
      </c>
      <c r="B345" s="33">
        <v>4495.022</v>
      </c>
      <c r="C345" s="33">
        <v>-10135.262</v>
      </c>
      <c r="D345" s="33">
        <v>-4.9</v>
      </c>
    </row>
    <row r="346">
      <c r="A346" s="32">
        <v>1609.0</v>
      </c>
      <c r="B346" s="33">
        <v>4498.828</v>
      </c>
      <c r="C346" s="33">
        <v>-8941.542</v>
      </c>
      <c r="D346" s="33">
        <v>-3.513</v>
      </c>
    </row>
    <row r="347">
      <c r="A347" s="32">
        <v>1610.0</v>
      </c>
      <c r="B347" s="33">
        <v>4350.358</v>
      </c>
      <c r="C347" s="33">
        <v>-7727.923</v>
      </c>
      <c r="D347" s="33">
        <v>0.909</v>
      </c>
    </row>
    <row r="348">
      <c r="A348" s="32">
        <v>1611.0</v>
      </c>
      <c r="B348" s="33">
        <v>4483.82</v>
      </c>
      <c r="C348" s="33">
        <v>-6566.993</v>
      </c>
      <c r="D348" s="33">
        <v>0.591</v>
      </c>
    </row>
    <row r="349">
      <c r="A349" s="32">
        <v>1612.0</v>
      </c>
      <c r="B349" s="33">
        <v>4503.059</v>
      </c>
      <c r="C349" s="33">
        <v>-5336.28</v>
      </c>
      <c r="D349" s="33">
        <v>1.739</v>
      </c>
    </row>
    <row r="350">
      <c r="A350" s="32">
        <v>1613.0</v>
      </c>
      <c r="B350" s="33">
        <v>4505.15</v>
      </c>
      <c r="C350" s="33">
        <v>-4322.554</v>
      </c>
      <c r="D350" s="33">
        <v>0.387</v>
      </c>
    </row>
    <row r="351">
      <c r="A351" s="32">
        <v>1614.0</v>
      </c>
      <c r="B351" s="33">
        <v>4505.385</v>
      </c>
      <c r="C351" s="33">
        <v>-2932.499</v>
      </c>
      <c r="D351" s="33">
        <v>2.189</v>
      </c>
    </row>
    <row r="352">
      <c r="A352" s="32">
        <v>1615.0</v>
      </c>
      <c r="B352" s="33">
        <v>4513.235</v>
      </c>
      <c r="C352" s="33">
        <v>-1731.545</v>
      </c>
      <c r="D352" s="33">
        <v>1.194</v>
      </c>
    </row>
    <row r="353">
      <c r="A353" s="32">
        <v>1616.0</v>
      </c>
      <c r="B353" s="33">
        <v>4511.937</v>
      </c>
      <c r="C353" s="33">
        <v>-527.486</v>
      </c>
      <c r="D353" s="33">
        <v>3.129</v>
      </c>
    </row>
    <row r="354">
      <c r="A354" s="32">
        <v>1617.0</v>
      </c>
      <c r="B354" s="33">
        <v>4522.464</v>
      </c>
      <c r="C354" s="33">
        <v>663.48</v>
      </c>
      <c r="D354" s="33">
        <v>2.569</v>
      </c>
    </row>
    <row r="355">
      <c r="A355" s="32">
        <v>1618.0</v>
      </c>
      <c r="B355" s="33">
        <v>4513.564</v>
      </c>
      <c r="C355" s="33">
        <v>1880.31</v>
      </c>
      <c r="D355" s="33">
        <v>3.112</v>
      </c>
    </row>
    <row r="356">
      <c r="A356" s="32">
        <v>1619.0</v>
      </c>
      <c r="B356" s="33">
        <v>4511.22</v>
      </c>
      <c r="C356" s="33">
        <v>3398.636</v>
      </c>
      <c r="D356" s="33">
        <v>2.713</v>
      </c>
    </row>
    <row r="357">
      <c r="A357" s="32">
        <v>1620.0</v>
      </c>
      <c r="B357" s="33">
        <v>4514.518</v>
      </c>
      <c r="C357" s="33">
        <v>4257.689</v>
      </c>
      <c r="D357" s="33">
        <v>3.314</v>
      </c>
    </row>
    <row r="358">
      <c r="A358" s="32">
        <v>1621.0</v>
      </c>
      <c r="B358" s="33">
        <v>4517.526</v>
      </c>
      <c r="C358" s="33">
        <v>5467.984</v>
      </c>
      <c r="D358" s="33">
        <v>5.657</v>
      </c>
    </row>
    <row r="359">
      <c r="A359" s="32">
        <v>1622.0</v>
      </c>
      <c r="B359" s="33">
        <v>4523.647</v>
      </c>
      <c r="C359" s="33">
        <v>6951.451</v>
      </c>
      <c r="D359" s="33">
        <v>1.225</v>
      </c>
    </row>
    <row r="360">
      <c r="A360" s="32">
        <v>1623.0</v>
      </c>
      <c r="B360" s="33">
        <v>4529.231</v>
      </c>
      <c r="C360" s="33">
        <v>7877.696</v>
      </c>
      <c r="D360" s="33">
        <v>3.211</v>
      </c>
    </row>
    <row r="361">
      <c r="A361" s="32">
        <v>1624.0</v>
      </c>
      <c r="B361" s="33">
        <v>4524.136</v>
      </c>
      <c r="C361" s="33">
        <v>9081.552</v>
      </c>
      <c r="D361" s="33">
        <v>3.511</v>
      </c>
    </row>
    <row r="362">
      <c r="A362" s="32">
        <v>1625.0</v>
      </c>
      <c r="B362" s="33">
        <v>4525.344</v>
      </c>
      <c r="C362" s="33">
        <v>10273.651</v>
      </c>
      <c r="D362" s="33">
        <v>8.307</v>
      </c>
    </row>
    <row r="363">
      <c r="A363" s="32">
        <v>1626.0</v>
      </c>
      <c r="B363" s="33">
        <v>4526.887</v>
      </c>
      <c r="C363" s="33">
        <v>11481.082</v>
      </c>
      <c r="D363" s="33">
        <v>14.461</v>
      </c>
    </row>
    <row r="364">
      <c r="A364" s="32">
        <v>1627.0</v>
      </c>
      <c r="B364" s="33">
        <v>4471.347</v>
      </c>
      <c r="C364" s="33">
        <v>12659.649</v>
      </c>
      <c r="D364" s="33">
        <v>38.785</v>
      </c>
    </row>
    <row r="365">
      <c r="A365" s="32">
        <v>1628.0</v>
      </c>
      <c r="B365" s="33">
        <v>4270.638</v>
      </c>
      <c r="C365" s="33">
        <v>13771.16</v>
      </c>
      <c r="D365" s="33">
        <v>51.683</v>
      </c>
    </row>
    <row r="366">
      <c r="A366" s="32">
        <v>1701.0</v>
      </c>
      <c r="B366" s="33">
        <v>5686.704</v>
      </c>
      <c r="C366" s="33">
        <v>-18547.404</v>
      </c>
      <c r="D366" s="33">
        <v>-20.672</v>
      </c>
    </row>
    <row r="367">
      <c r="A367" s="32">
        <v>1702.0</v>
      </c>
      <c r="B367" s="33">
        <v>5689.637</v>
      </c>
      <c r="C367" s="33">
        <v>-17344.375</v>
      </c>
      <c r="D367" s="33">
        <v>-17.841</v>
      </c>
    </row>
    <row r="368">
      <c r="A368" s="32">
        <v>1703.0</v>
      </c>
      <c r="B368" s="33">
        <v>5686.514</v>
      </c>
      <c r="C368" s="33">
        <v>-16140.898</v>
      </c>
      <c r="D368" s="33">
        <v>-17.081</v>
      </c>
    </row>
    <row r="369">
      <c r="A369" s="32">
        <v>1704.0</v>
      </c>
      <c r="B369" s="33">
        <v>5693.68</v>
      </c>
      <c r="C369" s="33">
        <v>-14938.08</v>
      </c>
      <c r="D369" s="33">
        <v>-15.63</v>
      </c>
    </row>
    <row r="370">
      <c r="A370" s="32">
        <v>1705.0</v>
      </c>
      <c r="B370" s="33">
        <v>5688.4</v>
      </c>
      <c r="C370" s="33">
        <v>-13736.494</v>
      </c>
      <c r="D370" s="33">
        <v>-13.107</v>
      </c>
    </row>
    <row r="371">
      <c r="A371" s="32">
        <v>1706.0</v>
      </c>
      <c r="B371" s="33">
        <v>5692.462</v>
      </c>
      <c r="C371" s="33">
        <v>-12546.89</v>
      </c>
      <c r="D371" s="33">
        <v>-10.854</v>
      </c>
    </row>
    <row r="372">
      <c r="A372" s="32">
        <v>1707.0</v>
      </c>
      <c r="B372" s="33">
        <v>5699.105</v>
      </c>
      <c r="C372" s="33">
        <v>-11339.076</v>
      </c>
      <c r="D372" s="33">
        <v>-5.833</v>
      </c>
    </row>
    <row r="373">
      <c r="A373" s="32">
        <v>1708.0</v>
      </c>
      <c r="B373" s="33">
        <v>5697.195</v>
      </c>
      <c r="C373" s="33">
        <v>-10139.922</v>
      </c>
      <c r="D373" s="33">
        <v>-4.077</v>
      </c>
    </row>
    <row r="374">
      <c r="A374" s="32">
        <v>1709.0</v>
      </c>
      <c r="B374" s="33">
        <v>5708.156</v>
      </c>
      <c r="C374" s="33">
        <v>-8939.423</v>
      </c>
      <c r="D374" s="33">
        <v>-2.016</v>
      </c>
    </row>
    <row r="375">
      <c r="A375" s="32">
        <v>1710.0</v>
      </c>
      <c r="B375" s="33">
        <v>5682.915</v>
      </c>
      <c r="C375" s="33">
        <v>-7725.956</v>
      </c>
      <c r="D375" s="33">
        <v>-0.955</v>
      </c>
    </row>
    <row r="376">
      <c r="A376" s="32">
        <v>1711.0</v>
      </c>
      <c r="B376" s="33">
        <v>5746.748</v>
      </c>
      <c r="C376" s="33">
        <v>-6560.171</v>
      </c>
      <c r="D376" s="33">
        <v>0.557</v>
      </c>
    </row>
    <row r="377">
      <c r="A377" s="32">
        <v>1712.0</v>
      </c>
      <c r="B377" s="33">
        <v>5711.311</v>
      </c>
      <c r="C377" s="33">
        <v>-5337.154</v>
      </c>
      <c r="D377" s="33">
        <v>-0.608</v>
      </c>
    </row>
    <row r="378">
      <c r="A378" s="32">
        <v>1713.0</v>
      </c>
      <c r="B378" s="33">
        <v>5863.227</v>
      </c>
      <c r="C378" s="33">
        <v>-4009.952</v>
      </c>
      <c r="D378" s="33">
        <v>2.25</v>
      </c>
    </row>
    <row r="379">
      <c r="A379" s="32">
        <v>1714.0</v>
      </c>
      <c r="B379" s="33">
        <v>5709.812</v>
      </c>
      <c r="C379" s="33">
        <v>-2931.378</v>
      </c>
      <c r="D379" s="33">
        <v>0.957</v>
      </c>
    </row>
    <row r="380">
      <c r="A380" s="32">
        <v>1715.0</v>
      </c>
      <c r="B380" s="33">
        <v>5715.577</v>
      </c>
      <c r="C380" s="33">
        <v>-1725.428</v>
      </c>
      <c r="D380" s="33">
        <v>2.643</v>
      </c>
    </row>
    <row r="381">
      <c r="A381" s="32">
        <v>1716.0</v>
      </c>
      <c r="B381" s="33">
        <v>5717.981</v>
      </c>
      <c r="C381" s="33">
        <v>-530.582</v>
      </c>
      <c r="D381" s="33">
        <v>2.673</v>
      </c>
    </row>
    <row r="382">
      <c r="A382" s="32">
        <v>1717.0</v>
      </c>
      <c r="B382" s="33">
        <v>5715.117</v>
      </c>
      <c r="C382" s="33">
        <v>670.592</v>
      </c>
      <c r="D382" s="33">
        <v>2.292</v>
      </c>
    </row>
    <row r="383">
      <c r="A383" s="32">
        <v>1718.0</v>
      </c>
      <c r="B383" s="33">
        <v>5717.515</v>
      </c>
      <c r="C383" s="33">
        <v>1871.994</v>
      </c>
      <c r="D383" s="33">
        <v>2.61</v>
      </c>
    </row>
    <row r="384">
      <c r="A384" s="32">
        <v>1719.0</v>
      </c>
      <c r="B384" s="33">
        <v>5726.219</v>
      </c>
      <c r="C384" s="33">
        <v>3059.522</v>
      </c>
      <c r="D384" s="33">
        <v>2.962</v>
      </c>
    </row>
    <row r="385">
      <c r="A385" s="32">
        <v>1720.0</v>
      </c>
      <c r="B385" s="33">
        <v>5724.637</v>
      </c>
      <c r="C385" s="33">
        <v>4273.918</v>
      </c>
      <c r="D385" s="33">
        <v>2.093</v>
      </c>
    </row>
    <row r="386">
      <c r="A386" s="32">
        <v>1721.0</v>
      </c>
      <c r="B386" s="33">
        <v>5721.258</v>
      </c>
      <c r="C386" s="33">
        <v>5471.325</v>
      </c>
      <c r="D386" s="33">
        <v>1.519</v>
      </c>
    </row>
    <row r="387">
      <c r="A387" s="32">
        <v>1722.0</v>
      </c>
      <c r="B387" s="33">
        <v>5721.668</v>
      </c>
      <c r="C387" s="33">
        <v>6675.178</v>
      </c>
      <c r="D387" s="33">
        <v>1.49</v>
      </c>
    </row>
    <row r="388">
      <c r="A388" s="32">
        <v>1723.0</v>
      </c>
      <c r="B388" s="33">
        <v>5721.74</v>
      </c>
      <c r="C388" s="33">
        <v>7868.929</v>
      </c>
      <c r="D388" s="33">
        <v>1.396</v>
      </c>
    </row>
    <row r="389">
      <c r="A389" s="32">
        <v>1724.0</v>
      </c>
      <c r="B389" s="33">
        <v>5705.69</v>
      </c>
      <c r="C389" s="33">
        <v>9075.445</v>
      </c>
      <c r="D389" s="33">
        <v>4.683</v>
      </c>
    </row>
    <row r="390">
      <c r="A390" s="32">
        <v>1725.0</v>
      </c>
      <c r="B390" s="33">
        <v>5728.346</v>
      </c>
      <c r="C390" s="33">
        <v>10263.114</v>
      </c>
      <c r="D390" s="33">
        <v>6.648</v>
      </c>
    </row>
    <row r="391">
      <c r="A391" s="32">
        <v>1726.0</v>
      </c>
      <c r="B391" s="33">
        <v>5734.005</v>
      </c>
      <c r="C391" s="33">
        <v>11474.426</v>
      </c>
      <c r="D391" s="33">
        <v>7.784</v>
      </c>
    </row>
    <row r="392">
      <c r="A392" s="32">
        <v>1727.0</v>
      </c>
      <c r="B392" s="33">
        <v>5734.759</v>
      </c>
      <c r="C392" s="33">
        <v>12673.187</v>
      </c>
      <c r="D392" s="33">
        <v>7.508</v>
      </c>
    </row>
    <row r="393">
      <c r="A393" s="32">
        <v>1728.0</v>
      </c>
      <c r="B393" s="33">
        <v>5729.837</v>
      </c>
      <c r="C393" s="33">
        <v>13873.301</v>
      </c>
      <c r="D393" s="33">
        <v>17.679</v>
      </c>
    </row>
    <row r="394">
      <c r="A394" s="32">
        <v>1801.0</v>
      </c>
      <c r="B394" s="33">
        <v>6890.507</v>
      </c>
      <c r="C394" s="33">
        <v>-18545.326</v>
      </c>
      <c r="D394" s="33">
        <v>-21.821</v>
      </c>
    </row>
    <row r="395">
      <c r="A395" s="32">
        <v>1802.0</v>
      </c>
      <c r="B395" s="33">
        <v>6890.75</v>
      </c>
      <c r="C395" s="33">
        <v>-17345.294</v>
      </c>
      <c r="D395" s="33">
        <v>-19.806</v>
      </c>
    </row>
    <row r="396">
      <c r="A396" s="32">
        <v>1803.0</v>
      </c>
      <c r="B396" s="33">
        <v>6889.695</v>
      </c>
      <c r="C396" s="33">
        <v>-16144.818</v>
      </c>
      <c r="D396" s="33">
        <v>-17.516</v>
      </c>
    </row>
    <row r="397">
      <c r="A397" s="32">
        <v>1804.0</v>
      </c>
      <c r="B397" s="33">
        <v>6892.089</v>
      </c>
      <c r="C397" s="33">
        <v>-14938.667</v>
      </c>
      <c r="D397" s="33">
        <v>-18.262</v>
      </c>
    </row>
    <row r="398">
      <c r="A398" s="32">
        <v>1805.0</v>
      </c>
      <c r="B398" s="33">
        <v>6892.774</v>
      </c>
      <c r="C398" s="33">
        <v>-13747.742</v>
      </c>
      <c r="D398" s="33">
        <v>-13.148</v>
      </c>
    </row>
    <row r="399">
      <c r="A399" s="32">
        <v>1806.0</v>
      </c>
      <c r="B399" s="33">
        <v>7272.479</v>
      </c>
      <c r="C399" s="33">
        <v>-12821.409</v>
      </c>
      <c r="D399" s="33">
        <v>-13.435</v>
      </c>
    </row>
    <row r="400">
      <c r="A400" s="32">
        <v>1807.0</v>
      </c>
      <c r="B400" s="33">
        <v>6891.518</v>
      </c>
      <c r="C400" s="33">
        <v>-11335.894</v>
      </c>
      <c r="D400" s="33">
        <v>-7.432</v>
      </c>
    </row>
    <row r="401">
      <c r="A401" s="32">
        <v>1808.0</v>
      </c>
      <c r="B401" s="33">
        <v>6904.03</v>
      </c>
      <c r="C401" s="33">
        <v>-10140.391</v>
      </c>
      <c r="D401" s="33">
        <v>-5.928</v>
      </c>
    </row>
    <row r="402">
      <c r="A402" s="32">
        <v>1809.0</v>
      </c>
      <c r="B402" s="33">
        <v>6908.416</v>
      </c>
      <c r="C402" s="33">
        <v>-8944.116</v>
      </c>
      <c r="D402" s="33">
        <v>-4.408</v>
      </c>
    </row>
    <row r="403">
      <c r="A403" s="32">
        <v>1810.0</v>
      </c>
      <c r="B403" s="33">
        <v>6905.112</v>
      </c>
      <c r="C403" s="33">
        <v>-7742.74</v>
      </c>
      <c r="D403" s="33">
        <v>-1.119</v>
      </c>
    </row>
    <row r="404">
      <c r="A404" s="32">
        <v>1811.0</v>
      </c>
      <c r="B404" s="33">
        <v>6902.922</v>
      </c>
      <c r="C404" s="33">
        <v>-6534.804</v>
      </c>
      <c r="D404" s="33">
        <v>-1.222</v>
      </c>
    </row>
    <row r="405">
      <c r="A405" s="32">
        <v>1812.0</v>
      </c>
      <c r="B405" s="33">
        <v>6693.381</v>
      </c>
      <c r="C405" s="33">
        <v>-5067.76</v>
      </c>
      <c r="D405" s="33">
        <v>0.579</v>
      </c>
    </row>
    <row r="406">
      <c r="A406" s="32">
        <v>1813.0</v>
      </c>
      <c r="B406" s="33">
        <v>6913.466</v>
      </c>
      <c r="C406" s="33">
        <v>-4103.037</v>
      </c>
      <c r="D406" s="33">
        <v>1.29</v>
      </c>
    </row>
    <row r="407">
      <c r="A407" s="32">
        <v>1814.0</v>
      </c>
      <c r="B407" s="33">
        <v>6910.708</v>
      </c>
      <c r="C407" s="33">
        <v>-2938.403</v>
      </c>
      <c r="D407" s="33">
        <v>0.857</v>
      </c>
    </row>
    <row r="408">
      <c r="A408" s="32">
        <v>1815.0</v>
      </c>
      <c r="B408" s="33">
        <v>6916.977</v>
      </c>
      <c r="C408" s="33">
        <v>-1730.675</v>
      </c>
      <c r="D408" s="33">
        <v>2.384</v>
      </c>
    </row>
    <row r="409">
      <c r="A409" s="32">
        <v>1816.0</v>
      </c>
      <c r="B409" s="33">
        <v>6911.78</v>
      </c>
      <c r="C409" s="33">
        <v>-539.722</v>
      </c>
      <c r="D409" s="33">
        <v>2.252</v>
      </c>
    </row>
    <row r="410">
      <c r="A410" s="32">
        <v>1817.0</v>
      </c>
      <c r="B410" s="33">
        <v>6912.096</v>
      </c>
      <c r="C410" s="33">
        <v>663.01</v>
      </c>
      <c r="D410" s="33">
        <v>2.96</v>
      </c>
    </row>
    <row r="411">
      <c r="A411" s="32">
        <v>1818.0</v>
      </c>
      <c r="B411" s="33">
        <v>6920.601</v>
      </c>
      <c r="C411" s="33">
        <v>1871.636</v>
      </c>
      <c r="D411" s="33">
        <v>3.24</v>
      </c>
    </row>
    <row r="412">
      <c r="A412" s="32">
        <v>1819.0</v>
      </c>
      <c r="B412" s="33">
        <v>6920.572</v>
      </c>
      <c r="C412" s="33">
        <v>3069.596</v>
      </c>
      <c r="D412" s="33">
        <v>2.105</v>
      </c>
    </row>
    <row r="413">
      <c r="A413" s="32">
        <v>1820.0</v>
      </c>
      <c r="B413" s="33">
        <v>6919.079</v>
      </c>
      <c r="C413" s="33">
        <v>4267.336</v>
      </c>
      <c r="D413" s="33">
        <v>2.136</v>
      </c>
    </row>
    <row r="414">
      <c r="A414" s="32">
        <v>1821.0</v>
      </c>
      <c r="B414" s="33">
        <v>6831.788</v>
      </c>
      <c r="C414" s="33">
        <v>5569.606</v>
      </c>
      <c r="D414" s="33">
        <v>0.413</v>
      </c>
    </row>
    <row r="415">
      <c r="A415" s="32">
        <v>1822.0</v>
      </c>
      <c r="B415" s="33">
        <v>6906.476</v>
      </c>
      <c r="C415" s="33">
        <v>6616.95</v>
      </c>
      <c r="D415" s="33">
        <v>0.88</v>
      </c>
    </row>
    <row r="416">
      <c r="A416" s="32">
        <v>1823.0</v>
      </c>
      <c r="B416" s="33">
        <v>6918.506</v>
      </c>
      <c r="C416" s="33">
        <v>7822.812</v>
      </c>
      <c r="D416" s="33">
        <v>-2.332</v>
      </c>
    </row>
    <row r="417">
      <c r="A417" s="32">
        <v>1824.0</v>
      </c>
      <c r="B417" s="33">
        <v>6939.125</v>
      </c>
      <c r="C417" s="33">
        <v>9063.447</v>
      </c>
      <c r="D417" s="33">
        <v>-0.93</v>
      </c>
    </row>
    <row r="418">
      <c r="A418" s="32">
        <v>1825.0</v>
      </c>
      <c r="B418" s="33">
        <v>6931.057</v>
      </c>
      <c r="C418" s="33">
        <v>10289.181</v>
      </c>
      <c r="D418" s="33">
        <v>1.354</v>
      </c>
    </row>
    <row r="419">
      <c r="A419" s="32">
        <v>1826.0</v>
      </c>
      <c r="B419" s="33">
        <v>6926.901</v>
      </c>
      <c r="C419" s="33">
        <v>11480.502</v>
      </c>
      <c r="D419" s="33">
        <v>5.851</v>
      </c>
    </row>
    <row r="420">
      <c r="A420" s="32">
        <v>1827.0</v>
      </c>
      <c r="B420" s="33">
        <v>6927.89</v>
      </c>
      <c r="C420" s="33">
        <v>12686.804</v>
      </c>
      <c r="D420" s="33">
        <v>0.369</v>
      </c>
    </row>
    <row r="421">
      <c r="A421" s="32">
        <v>1828.0</v>
      </c>
      <c r="B421" s="33">
        <v>6938.546</v>
      </c>
      <c r="C421" s="33">
        <v>13871.242</v>
      </c>
      <c r="D421" s="33">
        <v>-3.595</v>
      </c>
    </row>
    <row r="422">
      <c r="A422" s="32">
        <v>1902.0</v>
      </c>
      <c r="B422" s="33">
        <v>8089.962</v>
      </c>
      <c r="C422" s="33">
        <v>-17345.593</v>
      </c>
      <c r="D422" s="33">
        <v>-19.913</v>
      </c>
    </row>
    <row r="423">
      <c r="A423" s="32">
        <v>1903.0</v>
      </c>
      <c r="B423" s="33">
        <v>8090.633</v>
      </c>
      <c r="C423" s="33">
        <v>-16151.114</v>
      </c>
      <c r="D423" s="33">
        <v>-16.69</v>
      </c>
    </row>
    <row r="424">
      <c r="A424" s="32">
        <v>1904.0</v>
      </c>
      <c r="B424" s="33">
        <v>8092.063</v>
      </c>
      <c r="C424" s="33">
        <v>-14944.96</v>
      </c>
      <c r="D424" s="33">
        <v>-18.414</v>
      </c>
    </row>
    <row r="425">
      <c r="A425" s="32">
        <v>1905.0</v>
      </c>
      <c r="B425" s="33">
        <v>8143.418</v>
      </c>
      <c r="C425" s="33">
        <v>-13698.905</v>
      </c>
      <c r="D425" s="33">
        <v>-13.234</v>
      </c>
    </row>
    <row r="426">
      <c r="A426" s="32">
        <v>1906.0</v>
      </c>
      <c r="B426" s="33">
        <v>8098.748</v>
      </c>
      <c r="C426" s="33">
        <v>-12545.767</v>
      </c>
      <c r="D426" s="33">
        <v>-13.289</v>
      </c>
    </row>
    <row r="427">
      <c r="A427" s="32">
        <v>1907.0</v>
      </c>
      <c r="B427" s="33">
        <v>8097.675</v>
      </c>
      <c r="C427" s="33">
        <v>-11341.285</v>
      </c>
      <c r="D427" s="33">
        <v>-11.397</v>
      </c>
    </row>
    <row r="428">
      <c r="A428" s="32">
        <v>1908.0</v>
      </c>
      <c r="B428" s="33">
        <v>8219.438</v>
      </c>
      <c r="C428" s="33">
        <v>-10202.411</v>
      </c>
      <c r="D428" s="33">
        <v>-8.834</v>
      </c>
    </row>
    <row r="429">
      <c r="A429" s="32">
        <v>1909.0</v>
      </c>
      <c r="B429" s="33">
        <v>8103.228</v>
      </c>
      <c r="C429" s="33">
        <v>-8937.53</v>
      </c>
      <c r="D429" s="33">
        <v>-4.113</v>
      </c>
    </row>
    <row r="430">
      <c r="A430" s="32">
        <v>1910.0</v>
      </c>
      <c r="B430" s="33">
        <v>8108.382</v>
      </c>
      <c r="C430" s="33">
        <v>-7741.807</v>
      </c>
      <c r="D430" s="33">
        <v>-1.642</v>
      </c>
    </row>
    <row r="431">
      <c r="A431" s="32">
        <v>1911.0</v>
      </c>
      <c r="B431" s="33">
        <v>8103.418</v>
      </c>
      <c r="C431" s="33">
        <v>-6536.317</v>
      </c>
      <c r="D431" s="33">
        <v>-2.003</v>
      </c>
    </row>
    <row r="432">
      <c r="A432" s="32">
        <v>1912.0</v>
      </c>
      <c r="B432" s="33">
        <v>8137.574</v>
      </c>
      <c r="C432" s="33">
        <v>-5338.002</v>
      </c>
      <c r="D432" s="33">
        <v>-2.438</v>
      </c>
    </row>
    <row r="433">
      <c r="A433" s="32">
        <v>1913.0</v>
      </c>
      <c r="B433" s="33">
        <v>8112.842</v>
      </c>
      <c r="C433" s="33">
        <v>-4135.862</v>
      </c>
      <c r="D433" s="33">
        <v>-1.152</v>
      </c>
    </row>
    <row r="434">
      <c r="A434" s="32">
        <v>1914.0</v>
      </c>
      <c r="B434" s="33">
        <v>8099.91</v>
      </c>
      <c r="C434" s="33">
        <v>-2903.392</v>
      </c>
      <c r="D434" s="33">
        <v>-0.294</v>
      </c>
    </row>
    <row r="435">
      <c r="A435" s="32">
        <v>1915.0</v>
      </c>
      <c r="B435" s="33">
        <v>8109.402</v>
      </c>
      <c r="C435" s="33">
        <v>-1736.523</v>
      </c>
      <c r="D435" s="33">
        <v>0.75</v>
      </c>
    </row>
    <row r="436">
      <c r="A436" s="32">
        <v>1916.0</v>
      </c>
      <c r="B436" s="33">
        <v>8107.555</v>
      </c>
      <c r="C436" s="33">
        <v>-540.126</v>
      </c>
      <c r="D436" s="33">
        <v>0.136</v>
      </c>
    </row>
    <row r="437">
      <c r="A437" s="32">
        <v>1917.0</v>
      </c>
      <c r="B437" s="33">
        <v>8113.572</v>
      </c>
      <c r="C437" s="33">
        <v>645.844</v>
      </c>
      <c r="D437" s="33">
        <v>1.699</v>
      </c>
    </row>
    <row r="438">
      <c r="A438" s="32">
        <v>1918.0</v>
      </c>
      <c r="B438" s="33">
        <v>8119.38</v>
      </c>
      <c r="C438" s="33">
        <v>1862.686</v>
      </c>
      <c r="D438" s="33">
        <v>1.451</v>
      </c>
    </row>
    <row r="439">
      <c r="A439" s="32">
        <v>1919.0</v>
      </c>
      <c r="B439" s="33">
        <v>8110.538</v>
      </c>
      <c r="C439" s="33">
        <v>3066.301</v>
      </c>
      <c r="D439" s="33">
        <v>1.356</v>
      </c>
    </row>
    <row r="440">
      <c r="A440" s="32">
        <v>1920.0</v>
      </c>
      <c r="B440" s="33">
        <v>8110.965</v>
      </c>
      <c r="C440" s="33">
        <v>4231.95</v>
      </c>
      <c r="D440" s="33">
        <v>1.017</v>
      </c>
    </row>
    <row r="441">
      <c r="A441" s="32">
        <v>1921.0</v>
      </c>
      <c r="B441" s="33">
        <v>8125.369</v>
      </c>
      <c r="C441" s="33">
        <v>5470.018</v>
      </c>
      <c r="D441" s="33">
        <v>0.375</v>
      </c>
    </row>
    <row r="442">
      <c r="A442" s="32">
        <v>1922.0</v>
      </c>
      <c r="B442" s="33">
        <v>8133.814</v>
      </c>
      <c r="C442" s="33">
        <v>6628.793</v>
      </c>
      <c r="D442" s="33">
        <v>-1.757</v>
      </c>
    </row>
    <row r="443">
      <c r="A443" s="32">
        <v>1923.0</v>
      </c>
      <c r="B443" s="33">
        <v>8122.26</v>
      </c>
      <c r="C443" s="33">
        <v>7871.724</v>
      </c>
      <c r="D443" s="33">
        <v>-2.819</v>
      </c>
    </row>
    <row r="444">
      <c r="A444" s="32">
        <v>1924.0</v>
      </c>
      <c r="B444" s="33">
        <v>8129.031</v>
      </c>
      <c r="C444" s="33">
        <v>9064.484</v>
      </c>
      <c r="D444" s="33">
        <v>-3.305</v>
      </c>
    </row>
    <row r="445">
      <c r="A445" s="32">
        <v>1925.0</v>
      </c>
      <c r="B445" s="33">
        <v>8105.638</v>
      </c>
      <c r="C445" s="33">
        <v>10259.99</v>
      </c>
      <c r="D445" s="33">
        <v>-4.761</v>
      </c>
    </row>
    <row r="446">
      <c r="A446" s="32">
        <v>1926.0</v>
      </c>
      <c r="B446" s="33">
        <v>8135.745</v>
      </c>
      <c r="C446" s="33">
        <v>11468.221</v>
      </c>
      <c r="D446" s="33">
        <v>-2.262</v>
      </c>
    </row>
    <row r="447">
      <c r="A447" s="32">
        <v>1927.0</v>
      </c>
      <c r="B447" s="33">
        <v>8134.922</v>
      </c>
      <c r="C447" s="33">
        <v>12664.751</v>
      </c>
      <c r="D447" s="33">
        <v>-6.041</v>
      </c>
    </row>
    <row r="448">
      <c r="A448" s="32">
        <v>2004.0</v>
      </c>
      <c r="B448" s="33">
        <v>9292.73</v>
      </c>
      <c r="C448" s="33">
        <v>-14948.074</v>
      </c>
      <c r="D448" s="33">
        <v>-17.075</v>
      </c>
    </row>
    <row r="449">
      <c r="A449" s="32">
        <v>2005.0</v>
      </c>
      <c r="B449" s="33">
        <v>9304.449</v>
      </c>
      <c r="C449" s="33">
        <v>-13752.463</v>
      </c>
      <c r="D449" s="33">
        <v>-15.805</v>
      </c>
    </row>
    <row r="450">
      <c r="A450" s="32">
        <v>2006.0</v>
      </c>
      <c r="B450" s="33">
        <v>9298.264</v>
      </c>
      <c r="C450" s="33">
        <v>-12548.319</v>
      </c>
      <c r="D450" s="33">
        <v>-14.908</v>
      </c>
    </row>
    <row r="451">
      <c r="A451" s="32">
        <v>2007.0</v>
      </c>
      <c r="B451" s="33">
        <v>9301.075</v>
      </c>
      <c r="C451" s="33">
        <v>-11349.162</v>
      </c>
      <c r="D451" s="33">
        <v>-13.06</v>
      </c>
    </row>
    <row r="452">
      <c r="A452" s="32">
        <v>2008.0</v>
      </c>
      <c r="B452" s="33">
        <v>9300.338</v>
      </c>
      <c r="C452" s="33">
        <v>-10146.677</v>
      </c>
      <c r="D452" s="33">
        <v>-10.837</v>
      </c>
    </row>
    <row r="453">
      <c r="A453" s="32">
        <v>2009.0</v>
      </c>
      <c r="B453" s="33">
        <v>9304.178</v>
      </c>
      <c r="C453" s="33">
        <v>-8939.745</v>
      </c>
      <c r="D453" s="33">
        <v>-6.442</v>
      </c>
    </row>
    <row r="454">
      <c r="A454" s="32">
        <v>2010.0</v>
      </c>
      <c r="B454" s="33">
        <v>9307.687</v>
      </c>
      <c r="C454" s="33">
        <v>-7752.681</v>
      </c>
      <c r="D454" s="33">
        <v>-6.71</v>
      </c>
    </row>
    <row r="455">
      <c r="A455" s="32">
        <v>2011.0</v>
      </c>
      <c r="B455" s="33">
        <v>9308.496</v>
      </c>
      <c r="C455" s="33">
        <v>-6544.633</v>
      </c>
      <c r="D455" s="33">
        <v>-4.944</v>
      </c>
    </row>
    <row r="456">
      <c r="A456" s="32">
        <v>2012.0</v>
      </c>
      <c r="B456" s="33">
        <v>9307.926</v>
      </c>
      <c r="C456" s="33">
        <v>-5339.695</v>
      </c>
      <c r="D456" s="33">
        <v>-3.008</v>
      </c>
    </row>
    <row r="457">
      <c r="A457" s="32">
        <v>2013.0</v>
      </c>
      <c r="B457" s="33">
        <v>9313.918</v>
      </c>
      <c r="C457" s="33">
        <v>-4280.324</v>
      </c>
      <c r="D457" s="33">
        <v>-1.526</v>
      </c>
    </row>
    <row r="458">
      <c r="A458" s="32">
        <v>2014.0</v>
      </c>
      <c r="B458" s="33">
        <v>9260.068</v>
      </c>
      <c r="C458" s="33">
        <v>-2910.987</v>
      </c>
      <c r="D458" s="33">
        <v>1.096</v>
      </c>
    </row>
    <row r="459">
      <c r="A459" s="32">
        <v>2015.0</v>
      </c>
      <c r="B459" s="33">
        <v>9313.904</v>
      </c>
      <c r="C459" s="33">
        <v>-1735.29</v>
      </c>
      <c r="D459" s="33">
        <v>-1.173</v>
      </c>
    </row>
    <row r="460">
      <c r="A460" s="32">
        <v>2016.0</v>
      </c>
      <c r="B460" s="33">
        <v>9312.214</v>
      </c>
      <c r="C460" s="33">
        <v>-533.341</v>
      </c>
      <c r="D460" s="33">
        <v>0.724</v>
      </c>
    </row>
    <row r="461">
      <c r="A461" s="32">
        <v>2017.0</v>
      </c>
      <c r="B461" s="33">
        <v>9315.188</v>
      </c>
      <c r="C461" s="33">
        <v>660.178</v>
      </c>
      <c r="D461" s="33">
        <v>-0.382</v>
      </c>
    </row>
    <row r="462">
      <c r="A462" s="32">
        <v>2018.0</v>
      </c>
      <c r="B462" s="33">
        <v>9320.392</v>
      </c>
      <c r="C462" s="33">
        <v>1865.805</v>
      </c>
      <c r="D462" s="33">
        <v>-0.279</v>
      </c>
    </row>
    <row r="463">
      <c r="A463" s="32">
        <v>2019.0</v>
      </c>
      <c r="B463" s="33">
        <v>9318.782</v>
      </c>
      <c r="C463" s="33">
        <v>3069.871</v>
      </c>
      <c r="D463" s="33">
        <v>0.136</v>
      </c>
    </row>
    <row r="464">
      <c r="A464" s="32">
        <v>2020.0</v>
      </c>
      <c r="B464" s="33">
        <v>9303.804</v>
      </c>
      <c r="C464" s="33">
        <v>4273.036</v>
      </c>
      <c r="D464" s="33">
        <v>-0.756</v>
      </c>
    </row>
    <row r="465">
      <c r="A465" s="32">
        <v>2021.0</v>
      </c>
      <c r="B465" s="33">
        <v>9347.215</v>
      </c>
      <c r="C465" s="33">
        <v>5466.944</v>
      </c>
      <c r="D465" s="33">
        <v>-1.493</v>
      </c>
    </row>
    <row r="466">
      <c r="A466" s="32">
        <v>2022.0</v>
      </c>
      <c r="B466" s="33">
        <v>9309.406</v>
      </c>
      <c r="C466" s="33">
        <v>6586.802</v>
      </c>
      <c r="D466" s="33">
        <v>-1.459</v>
      </c>
    </row>
    <row r="467">
      <c r="A467" s="32">
        <v>2023.0</v>
      </c>
      <c r="B467" s="33">
        <v>9324.338</v>
      </c>
      <c r="C467" s="33">
        <v>7867.185</v>
      </c>
      <c r="D467" s="33">
        <v>-3.375</v>
      </c>
    </row>
    <row r="468">
      <c r="A468" s="32">
        <v>2024.0</v>
      </c>
      <c r="B468" s="33">
        <v>9326.09</v>
      </c>
      <c r="C468" s="33">
        <v>9069.603</v>
      </c>
      <c r="D468" s="33">
        <v>-3.068</v>
      </c>
    </row>
    <row r="469">
      <c r="A469" s="32">
        <v>2025.0</v>
      </c>
      <c r="B469" s="33">
        <v>9292.788</v>
      </c>
      <c r="C469" s="33">
        <v>10325.502</v>
      </c>
      <c r="D469" s="33">
        <v>-5.544</v>
      </c>
    </row>
    <row r="470">
      <c r="A470" s="32">
        <v>2105.0</v>
      </c>
      <c r="B470" s="33">
        <v>10502.323</v>
      </c>
      <c r="C470" s="33">
        <v>-13747.832</v>
      </c>
      <c r="D470" s="33">
        <v>-19.562</v>
      </c>
    </row>
    <row r="471">
      <c r="A471" s="32">
        <v>2106.0</v>
      </c>
      <c r="B471" s="33">
        <v>10496.659</v>
      </c>
      <c r="C471" s="33">
        <v>-12551.799</v>
      </c>
      <c r="D471" s="33">
        <v>-16.951</v>
      </c>
    </row>
    <row r="472">
      <c r="A472" s="32">
        <v>2107.0</v>
      </c>
      <c r="B472" s="33">
        <v>10497.889</v>
      </c>
      <c r="C472" s="33">
        <v>-11341.096</v>
      </c>
      <c r="D472" s="33">
        <v>-14.6</v>
      </c>
    </row>
    <row r="473">
      <c r="A473" s="32">
        <v>2108.0</v>
      </c>
      <c r="B473" s="33">
        <v>10501.737</v>
      </c>
      <c r="C473" s="33">
        <v>-10149.599</v>
      </c>
      <c r="D473" s="33">
        <v>-11.304</v>
      </c>
    </row>
    <row r="474">
      <c r="A474" s="32">
        <v>2109.0</v>
      </c>
      <c r="B474" s="33">
        <v>10503.924</v>
      </c>
      <c r="C474" s="33">
        <v>-8944.998</v>
      </c>
      <c r="D474" s="33">
        <v>-8.43</v>
      </c>
    </row>
    <row r="475">
      <c r="A475" s="32">
        <v>2110.0</v>
      </c>
      <c r="B475" s="33">
        <v>10517.949</v>
      </c>
      <c r="C475" s="33">
        <v>-7747.593</v>
      </c>
      <c r="D475" s="33">
        <v>-7.512</v>
      </c>
    </row>
    <row r="476">
      <c r="A476" s="32">
        <v>2111.0</v>
      </c>
      <c r="B476" s="33">
        <v>10510.372</v>
      </c>
      <c r="C476" s="33">
        <v>-6540.447</v>
      </c>
      <c r="D476" s="33">
        <v>-3.504</v>
      </c>
    </row>
    <row r="477">
      <c r="A477" s="32">
        <v>2112.0</v>
      </c>
      <c r="B477" s="33">
        <v>10491.284</v>
      </c>
      <c r="C477" s="33">
        <v>-5316.098</v>
      </c>
      <c r="D477" s="33">
        <v>-3.162</v>
      </c>
    </row>
    <row r="478">
      <c r="A478" s="32">
        <v>2113.0</v>
      </c>
      <c r="B478" s="33">
        <v>10511.635</v>
      </c>
      <c r="C478" s="33">
        <v>-4142.442</v>
      </c>
      <c r="D478" s="33">
        <v>-3.213</v>
      </c>
    </row>
    <row r="479">
      <c r="A479" s="32">
        <v>2114.0</v>
      </c>
      <c r="B479" s="33">
        <v>10510.795</v>
      </c>
      <c r="C479" s="33">
        <v>-2940.939</v>
      </c>
      <c r="D479" s="33">
        <v>-3.293</v>
      </c>
    </row>
    <row r="480">
      <c r="A480" s="32">
        <v>2115.0</v>
      </c>
      <c r="B480" s="33">
        <v>10458.415</v>
      </c>
      <c r="C480" s="33">
        <v>-1724.513</v>
      </c>
      <c r="D480" s="33">
        <v>-1.461</v>
      </c>
    </row>
    <row r="481">
      <c r="A481" s="32">
        <v>2116.0</v>
      </c>
      <c r="B481" s="33">
        <v>10513.516</v>
      </c>
      <c r="C481" s="33">
        <v>-537.589</v>
      </c>
      <c r="D481" s="33">
        <v>-1.53</v>
      </c>
    </row>
    <row r="482">
      <c r="A482" s="32">
        <v>2117.0</v>
      </c>
      <c r="B482" s="33">
        <v>10517.159</v>
      </c>
      <c r="C482" s="33">
        <v>664.814</v>
      </c>
      <c r="D482" s="33">
        <v>-2.218</v>
      </c>
    </row>
    <row r="483">
      <c r="A483" s="32">
        <v>2118.0</v>
      </c>
      <c r="B483" s="33">
        <v>10518.73</v>
      </c>
      <c r="C483" s="33">
        <v>1868.55</v>
      </c>
      <c r="D483" s="33">
        <v>-1.261</v>
      </c>
    </row>
    <row r="484">
      <c r="A484" s="32">
        <v>2119.0</v>
      </c>
      <c r="B484" s="33">
        <v>10515.901</v>
      </c>
      <c r="C484" s="33">
        <v>3071.838</v>
      </c>
      <c r="D484" s="33">
        <v>-1.003</v>
      </c>
    </row>
    <row r="485">
      <c r="A485" s="32">
        <v>2120.0</v>
      </c>
      <c r="B485" s="33">
        <v>10521.702</v>
      </c>
      <c r="C485" s="33">
        <v>4269.031</v>
      </c>
      <c r="D485" s="33">
        <v>-1.813</v>
      </c>
    </row>
    <row r="486">
      <c r="A486" s="32">
        <v>2121.0</v>
      </c>
      <c r="B486" s="33">
        <v>10524.827</v>
      </c>
      <c r="C486" s="33">
        <v>5404.483</v>
      </c>
      <c r="D486" s="33">
        <v>-1.872</v>
      </c>
    </row>
    <row r="487">
      <c r="A487" s="32">
        <v>2122.0</v>
      </c>
      <c r="B487" s="33">
        <v>10544.77</v>
      </c>
      <c r="C487" s="33">
        <v>6660.444</v>
      </c>
      <c r="D487" s="33">
        <v>-2.235</v>
      </c>
    </row>
    <row r="488">
      <c r="A488" s="32">
        <v>2123.0</v>
      </c>
      <c r="B488" s="33">
        <v>10625.84</v>
      </c>
      <c r="C488" s="33">
        <v>7773.352</v>
      </c>
      <c r="D488" s="33">
        <v>-2.972</v>
      </c>
    </row>
    <row r="489">
      <c r="A489" s="32">
        <v>2206.0</v>
      </c>
      <c r="B489" s="33">
        <v>11701.725</v>
      </c>
      <c r="C489" s="33">
        <v>-12553.549</v>
      </c>
      <c r="D489" s="33">
        <v>-9.678</v>
      </c>
    </row>
    <row r="490">
      <c r="A490" s="32">
        <v>2207.0</v>
      </c>
      <c r="B490" s="33">
        <v>11847.271</v>
      </c>
      <c r="C490" s="33">
        <v>-11344.956</v>
      </c>
      <c r="D490" s="33">
        <v>53.663</v>
      </c>
    </row>
    <row r="491">
      <c r="A491" s="32">
        <v>2208.0</v>
      </c>
      <c r="B491" s="33">
        <v>11796.016</v>
      </c>
      <c r="C491" s="33">
        <v>-10399.513</v>
      </c>
      <c r="D491" s="33">
        <v>69.244</v>
      </c>
    </row>
    <row r="492">
      <c r="A492" s="32">
        <v>2209.0</v>
      </c>
      <c r="B492" s="33">
        <v>11705.133</v>
      </c>
      <c r="C492" s="33">
        <v>-8941.85</v>
      </c>
      <c r="D492" s="33">
        <v>-8.093</v>
      </c>
    </row>
    <row r="493">
      <c r="A493" s="32">
        <v>2210.0</v>
      </c>
      <c r="B493" s="33">
        <v>11707.403</v>
      </c>
      <c r="C493" s="33">
        <v>-7749.565</v>
      </c>
      <c r="D493" s="33">
        <v>-9.994</v>
      </c>
    </row>
    <row r="494">
      <c r="A494" s="32">
        <v>2211.0</v>
      </c>
      <c r="B494" s="33">
        <v>11708.966</v>
      </c>
      <c r="C494" s="33">
        <v>-6540.741</v>
      </c>
      <c r="D494" s="33">
        <v>-6.079</v>
      </c>
    </row>
    <row r="495">
      <c r="A495" s="32">
        <v>2212.0</v>
      </c>
      <c r="B495" s="33">
        <v>11579.212</v>
      </c>
      <c r="C495" s="33">
        <v>-5284.134</v>
      </c>
      <c r="D495" s="33">
        <v>-6.195</v>
      </c>
    </row>
    <row r="496">
      <c r="A496" s="32">
        <v>2213.0</v>
      </c>
      <c r="B496" s="33">
        <v>11711.51</v>
      </c>
      <c r="C496" s="33">
        <v>-4144.733</v>
      </c>
      <c r="D496" s="33">
        <v>-3.232</v>
      </c>
    </row>
    <row r="497">
      <c r="A497" s="32">
        <v>2214.0</v>
      </c>
      <c r="B497" s="33">
        <v>11712.814</v>
      </c>
      <c r="C497" s="33">
        <v>-2944.004</v>
      </c>
      <c r="D497" s="33">
        <v>-4.625</v>
      </c>
    </row>
    <row r="498">
      <c r="A498" s="32">
        <v>2215.0</v>
      </c>
      <c r="B498" s="33">
        <v>11772.542</v>
      </c>
      <c r="C498" s="33">
        <v>-1738.855</v>
      </c>
      <c r="D498" s="33">
        <v>-2.901</v>
      </c>
    </row>
    <row r="499">
      <c r="A499" s="32">
        <v>2216.0</v>
      </c>
      <c r="B499" s="33">
        <v>11715.249</v>
      </c>
      <c r="C499" s="33">
        <v>-539.876</v>
      </c>
      <c r="D499" s="33">
        <v>-4.021</v>
      </c>
    </row>
    <row r="500">
      <c r="A500" s="32">
        <v>2217.0</v>
      </c>
      <c r="B500" s="33">
        <v>11717.504</v>
      </c>
      <c r="C500" s="33">
        <v>659.861</v>
      </c>
      <c r="D500" s="33">
        <v>-3.437</v>
      </c>
    </row>
    <row r="501">
      <c r="A501" s="32">
        <v>2218.0</v>
      </c>
      <c r="B501" s="33">
        <v>11715.705</v>
      </c>
      <c r="C501" s="33">
        <v>1858.484</v>
      </c>
      <c r="D501" s="33">
        <v>-3.361</v>
      </c>
    </row>
    <row r="502">
      <c r="A502" s="32">
        <v>2219.0</v>
      </c>
      <c r="B502" s="33">
        <v>11703.365</v>
      </c>
      <c r="C502" s="33">
        <v>3069.864</v>
      </c>
      <c r="D502" s="33">
        <v>-2.647</v>
      </c>
    </row>
    <row r="503">
      <c r="A503" s="32">
        <v>2220.0</v>
      </c>
      <c r="B503" s="33">
        <v>11730.638</v>
      </c>
      <c r="C503" s="33">
        <v>4261.761</v>
      </c>
      <c r="D503" s="33">
        <v>-3.174</v>
      </c>
    </row>
    <row r="504">
      <c r="A504" s="32">
        <v>2307.0</v>
      </c>
      <c r="B504" s="33">
        <v>12902.849</v>
      </c>
      <c r="C504" s="33">
        <v>-11353.393</v>
      </c>
      <c r="D504" s="33">
        <v>52.994</v>
      </c>
    </row>
    <row r="505">
      <c r="A505" s="32">
        <v>2308.0</v>
      </c>
      <c r="B505" s="33">
        <v>12905.614</v>
      </c>
      <c r="C505" s="33">
        <v>-10146.558</v>
      </c>
      <c r="D505" s="33">
        <v>55.847</v>
      </c>
    </row>
    <row r="506">
      <c r="A506" s="32">
        <v>2309.0</v>
      </c>
      <c r="B506" s="33">
        <v>12790.989</v>
      </c>
      <c r="C506" s="33">
        <v>-8836.59</v>
      </c>
      <c r="D506" s="33">
        <v>102.002</v>
      </c>
    </row>
    <row r="507">
      <c r="A507" s="32">
        <v>2310.0</v>
      </c>
      <c r="B507" s="33">
        <v>12860.395</v>
      </c>
      <c r="C507" s="33">
        <v>-7677.584</v>
      </c>
      <c r="D507" s="33">
        <v>-2.634</v>
      </c>
    </row>
    <row r="508">
      <c r="A508" s="32">
        <v>2311.0</v>
      </c>
      <c r="B508" s="33">
        <v>12909.888</v>
      </c>
      <c r="C508" s="33">
        <v>-6538.404</v>
      </c>
      <c r="D508" s="33">
        <v>-8.841</v>
      </c>
    </row>
    <row r="509">
      <c r="A509" s="32">
        <v>2312.0</v>
      </c>
      <c r="B509" s="33">
        <v>13148.207</v>
      </c>
      <c r="C509" s="33">
        <v>-5340.842</v>
      </c>
      <c r="D509" s="33">
        <v>-3.689</v>
      </c>
    </row>
    <row r="510">
      <c r="A510" s="32">
        <v>2313.0</v>
      </c>
      <c r="B510" s="33">
        <v>12918.112</v>
      </c>
      <c r="C510" s="33">
        <v>-4141.833</v>
      </c>
      <c r="D510" s="33">
        <v>-3.006</v>
      </c>
    </row>
    <row r="511">
      <c r="A511" s="32">
        <v>2314.0</v>
      </c>
      <c r="B511" s="33">
        <v>12913.008</v>
      </c>
      <c r="C511" s="33">
        <v>-2991.859</v>
      </c>
      <c r="D511" s="33">
        <v>-7.041</v>
      </c>
    </row>
    <row r="512">
      <c r="A512" s="32">
        <v>2315.0</v>
      </c>
      <c r="B512" s="33">
        <v>12918.884</v>
      </c>
      <c r="C512" s="33">
        <v>-1743.15</v>
      </c>
      <c r="D512" s="33">
        <v>-6.328</v>
      </c>
    </row>
    <row r="513">
      <c r="A513" s="32">
        <v>2316.0</v>
      </c>
      <c r="B513" s="33">
        <v>12913.869</v>
      </c>
      <c r="C513" s="33">
        <v>-536.319</v>
      </c>
      <c r="D513" s="33">
        <v>-5.532</v>
      </c>
    </row>
    <row r="514">
      <c r="A514" s="32">
        <v>2317.0</v>
      </c>
      <c r="B514" s="33">
        <v>12918.54</v>
      </c>
      <c r="C514" s="33">
        <v>656.204</v>
      </c>
      <c r="D514" s="33">
        <v>-4.902</v>
      </c>
    </row>
    <row r="515">
      <c r="A515" s="32">
        <v>2408.0</v>
      </c>
      <c r="B515" s="33">
        <v>14105.634</v>
      </c>
      <c r="C515" s="33">
        <v>-10155.241</v>
      </c>
      <c r="D515" s="33">
        <v>44.116</v>
      </c>
    </row>
    <row r="516">
      <c r="A516" s="32">
        <v>2409.0</v>
      </c>
      <c r="B516" s="33">
        <v>14106.476</v>
      </c>
      <c r="C516" s="33">
        <v>-8944.63</v>
      </c>
      <c r="D516" s="33">
        <v>45.591</v>
      </c>
    </row>
    <row r="517">
      <c r="A517" s="32">
        <v>2410.0</v>
      </c>
      <c r="B517" s="33">
        <v>13810.772</v>
      </c>
      <c r="C517" s="33">
        <v>-7660.639</v>
      </c>
      <c r="D517" s="33">
        <v>87.813</v>
      </c>
    </row>
    <row r="518">
      <c r="A518" s="32">
        <v>2411.0</v>
      </c>
      <c r="B518" s="33">
        <v>14109.677</v>
      </c>
      <c r="C518" s="33">
        <v>-6545.503</v>
      </c>
      <c r="D518" s="33">
        <v>54.315</v>
      </c>
    </row>
    <row r="519">
      <c r="A519" s="32">
        <v>2412.0</v>
      </c>
      <c r="B519" s="33">
        <v>14110.478</v>
      </c>
      <c r="C519" s="33">
        <v>-5345.712</v>
      </c>
      <c r="D519" s="33">
        <v>-9.126</v>
      </c>
    </row>
    <row r="520">
      <c r="A520" s="32">
        <v>3612.0</v>
      </c>
      <c r="B520" s="33">
        <v>17663.901</v>
      </c>
      <c r="C520" s="33">
        <v>-42648.662</v>
      </c>
      <c r="D520" s="33">
        <v>-102.693</v>
      </c>
    </row>
    <row r="521">
      <c r="A521" s="32">
        <v>3614.0</v>
      </c>
      <c r="B521" s="33">
        <v>21834.331</v>
      </c>
      <c r="C521" s="33">
        <v>-42558.294</v>
      </c>
      <c r="D521" s="33">
        <v>-120.582</v>
      </c>
    </row>
    <row r="522">
      <c r="A522" s="32">
        <v>3615.0</v>
      </c>
      <c r="B522" s="33">
        <v>23909.324</v>
      </c>
      <c r="C522" s="33">
        <v>-42518.204</v>
      </c>
      <c r="D522" s="33">
        <v>-120.973</v>
      </c>
    </row>
    <row r="523">
      <c r="A523" s="32">
        <v>3616.0</v>
      </c>
      <c r="B523" s="33">
        <v>-4552.15</v>
      </c>
      <c r="C523" s="33">
        <v>12609.564</v>
      </c>
      <c r="D523" s="33">
        <v>126.157</v>
      </c>
    </row>
    <row r="524">
      <c r="A524" s="32">
        <v>3710.0</v>
      </c>
      <c r="B524" s="33">
        <v>13467.608</v>
      </c>
      <c r="C524" s="33">
        <v>-40651.586</v>
      </c>
      <c r="D524" s="33">
        <v>-73.574</v>
      </c>
    </row>
    <row r="525">
      <c r="A525" s="32">
        <v>3711.0</v>
      </c>
      <c r="B525" s="33">
        <v>15551.043</v>
      </c>
      <c r="C525" s="33">
        <v>-40605.215</v>
      </c>
      <c r="D525" s="33">
        <v>-76.51</v>
      </c>
    </row>
    <row r="526">
      <c r="A526" s="32">
        <v>3712.0</v>
      </c>
      <c r="B526" s="33">
        <v>17614.179</v>
      </c>
      <c r="C526" s="33">
        <v>-40574.622</v>
      </c>
      <c r="D526" s="33">
        <v>-86.141</v>
      </c>
    </row>
    <row r="527">
      <c r="A527" s="32">
        <v>3713.0</v>
      </c>
      <c r="B527" s="33">
        <v>19699.156</v>
      </c>
      <c r="C527" s="33">
        <v>-40519.069</v>
      </c>
      <c r="D527" s="33">
        <v>-103.326</v>
      </c>
    </row>
    <row r="528">
      <c r="A528" s="32">
        <v>3714.0</v>
      </c>
      <c r="B528" s="33">
        <v>21782.948</v>
      </c>
      <c r="C528" s="33">
        <v>-40477.894</v>
      </c>
      <c r="D528" s="33">
        <v>-113.49</v>
      </c>
    </row>
    <row r="529">
      <c r="A529" s="32">
        <v>3715.0</v>
      </c>
      <c r="B529" s="33">
        <v>23868.472</v>
      </c>
      <c r="C529" s="33">
        <v>-40433.878</v>
      </c>
      <c r="D529" s="33">
        <v>-116.533</v>
      </c>
    </row>
    <row r="530">
      <c r="A530" s="32">
        <v>3716.0</v>
      </c>
      <c r="B530" s="33">
        <v>25939.26</v>
      </c>
      <c r="C530" s="33">
        <v>-40381.312</v>
      </c>
      <c r="D530" s="33">
        <v>-128.032</v>
      </c>
    </row>
    <row r="531">
      <c r="A531" s="32">
        <v>3717.0</v>
      </c>
      <c r="B531" s="33">
        <v>-1589.318</v>
      </c>
      <c r="C531" s="33">
        <v>13794.198</v>
      </c>
      <c r="D531" s="33">
        <v>80.623</v>
      </c>
    </row>
    <row r="532">
      <c r="A532" s="32">
        <v>3809.0</v>
      </c>
      <c r="B532" s="33">
        <v>11203.864</v>
      </c>
      <c r="C532" s="33">
        <v>-38632.278</v>
      </c>
      <c r="D532" s="33">
        <v>-54.4</v>
      </c>
    </row>
    <row r="533">
      <c r="A533" s="32">
        <v>3810.0</v>
      </c>
      <c r="B533" s="33">
        <v>13423.382</v>
      </c>
      <c r="C533" s="33">
        <v>-38571.435</v>
      </c>
      <c r="D533" s="33">
        <v>-68.79</v>
      </c>
    </row>
    <row r="534">
      <c r="A534" s="32">
        <v>3811.0</v>
      </c>
      <c r="B534" s="33">
        <v>15439.233</v>
      </c>
      <c r="C534" s="33">
        <v>-38508.065</v>
      </c>
      <c r="D534" s="33">
        <v>-97.0</v>
      </c>
    </row>
    <row r="535">
      <c r="A535" s="32">
        <v>3812.0</v>
      </c>
      <c r="B535" s="33">
        <v>17572.786</v>
      </c>
      <c r="C535" s="33">
        <v>-38493.141</v>
      </c>
      <c r="D535" s="33">
        <v>-101.773</v>
      </c>
    </row>
    <row r="536">
      <c r="A536" s="32">
        <v>3813.0</v>
      </c>
      <c r="B536" s="33">
        <v>19659.875</v>
      </c>
      <c r="C536" s="33">
        <v>-38444.693</v>
      </c>
      <c r="D536" s="33">
        <v>-102.382</v>
      </c>
    </row>
    <row r="537">
      <c r="A537" s="32">
        <v>3814.0</v>
      </c>
      <c r="B537" s="33">
        <v>21747.212</v>
      </c>
      <c r="C537" s="33">
        <v>-38348.109</v>
      </c>
      <c r="D537" s="33">
        <v>-112.475</v>
      </c>
    </row>
    <row r="538">
      <c r="A538" s="32">
        <v>3815.0</v>
      </c>
      <c r="B538" s="33">
        <v>23825.561</v>
      </c>
      <c r="C538" s="33">
        <v>-38355.198</v>
      </c>
      <c r="D538" s="33">
        <v>-115.891</v>
      </c>
    </row>
    <row r="539">
      <c r="A539" s="32">
        <v>3816.0</v>
      </c>
      <c r="B539" s="33">
        <v>25834.28</v>
      </c>
      <c r="C539" s="33">
        <v>-38362.501</v>
      </c>
      <c r="D539" s="33">
        <v>-123.063</v>
      </c>
    </row>
    <row r="540">
      <c r="A540" s="32">
        <v>3817.0</v>
      </c>
      <c r="B540" s="33">
        <v>27978.832</v>
      </c>
      <c r="C540" s="33">
        <v>-38266.843</v>
      </c>
      <c r="D540" s="33">
        <v>-135.851</v>
      </c>
    </row>
    <row r="541">
      <c r="A541" s="32">
        <v>3908.0</v>
      </c>
      <c r="B541" s="33">
        <v>9216.611</v>
      </c>
      <c r="C541" s="33">
        <v>-36577.147</v>
      </c>
      <c r="D541" s="33">
        <v>-51.807</v>
      </c>
    </row>
    <row r="542">
      <c r="A542" s="32">
        <v>3909.0</v>
      </c>
      <c r="B542" s="33">
        <v>11298.105</v>
      </c>
      <c r="C542" s="33">
        <v>-36532.277</v>
      </c>
      <c r="D542" s="33">
        <v>-65.902</v>
      </c>
    </row>
    <row r="543">
      <c r="A543" s="32">
        <v>3910.0</v>
      </c>
      <c r="B543" s="33">
        <v>13284.934</v>
      </c>
      <c r="C543" s="33">
        <v>-36607.039</v>
      </c>
      <c r="D543" s="33">
        <v>-82.795</v>
      </c>
    </row>
    <row r="544">
      <c r="A544" s="32">
        <v>3911.0</v>
      </c>
      <c r="B544" s="33">
        <v>15458.957</v>
      </c>
      <c r="C544" s="33">
        <v>-36449.157</v>
      </c>
      <c r="D544" s="33">
        <v>-86.649</v>
      </c>
    </row>
    <row r="545">
      <c r="A545" s="32">
        <v>3912.0</v>
      </c>
      <c r="B545" s="33">
        <v>17532.34</v>
      </c>
      <c r="C545" s="33">
        <v>-36409.475</v>
      </c>
      <c r="D545" s="33">
        <v>-93.666</v>
      </c>
    </row>
    <row r="546">
      <c r="A546" s="32">
        <v>3913.0</v>
      </c>
      <c r="B546" s="33">
        <v>19612.63</v>
      </c>
      <c r="C546" s="33">
        <v>-36359.383</v>
      </c>
      <c r="D546" s="33">
        <v>-94.598</v>
      </c>
    </row>
    <row r="547">
      <c r="A547" s="32">
        <v>3914.0</v>
      </c>
      <c r="B547" s="33">
        <v>21675.031</v>
      </c>
      <c r="C547" s="33">
        <v>-36312.973</v>
      </c>
      <c r="D547" s="33">
        <v>-102.318</v>
      </c>
    </row>
    <row r="548">
      <c r="A548" s="32">
        <v>3915.0</v>
      </c>
      <c r="B548" s="33">
        <v>23782.412</v>
      </c>
      <c r="C548" s="33">
        <v>-36270.777</v>
      </c>
      <c r="D548" s="33">
        <v>-109.716</v>
      </c>
    </row>
    <row r="549">
      <c r="A549" s="32">
        <v>3917.0</v>
      </c>
      <c r="B549" s="33">
        <v>27939.447</v>
      </c>
      <c r="C549" s="33">
        <v>-36186.642</v>
      </c>
      <c r="D549" s="33">
        <v>-130.856</v>
      </c>
    </row>
    <row r="550">
      <c r="A550" s="32">
        <v>3918.0</v>
      </c>
      <c r="B550" s="33">
        <v>29931.563</v>
      </c>
      <c r="C550" s="33">
        <v>-36202.766</v>
      </c>
      <c r="D550" s="33">
        <v>-131.912</v>
      </c>
    </row>
    <row r="551">
      <c r="A551" s="32">
        <v>4009.0</v>
      </c>
      <c r="B551" s="33">
        <v>11249.984</v>
      </c>
      <c r="C551" s="33">
        <v>-34460.579</v>
      </c>
      <c r="D551" s="33">
        <v>-57.398</v>
      </c>
    </row>
    <row r="552">
      <c r="A552" s="32">
        <v>4010.0</v>
      </c>
      <c r="B552" s="33">
        <v>13328.557</v>
      </c>
      <c r="C552" s="33">
        <v>-34415.5</v>
      </c>
      <c r="D552" s="33">
        <v>-74.183</v>
      </c>
    </row>
    <row r="553">
      <c r="A553" s="32">
        <v>4011.0</v>
      </c>
      <c r="B553" s="33">
        <v>15413.63</v>
      </c>
      <c r="C553" s="33">
        <v>-34372.367</v>
      </c>
      <c r="D553" s="33">
        <v>-79.141</v>
      </c>
    </row>
    <row r="554">
      <c r="A554" s="32">
        <v>4012.0</v>
      </c>
      <c r="B554" s="33">
        <v>17487.158</v>
      </c>
      <c r="C554" s="33">
        <v>-34328.271</v>
      </c>
      <c r="D554" s="33">
        <v>-83.162</v>
      </c>
    </row>
    <row r="555">
      <c r="A555" s="32">
        <v>4013.0</v>
      </c>
      <c r="B555" s="33">
        <v>19568.206</v>
      </c>
      <c r="C555" s="33">
        <v>-34286.488</v>
      </c>
      <c r="D555" s="33">
        <v>-89.013</v>
      </c>
    </row>
    <row r="556">
      <c r="A556" s="32">
        <v>4014.0</v>
      </c>
      <c r="B556" s="33">
        <v>21655.024</v>
      </c>
      <c r="C556" s="33">
        <v>-34239.473</v>
      </c>
      <c r="D556" s="33">
        <v>-95.383</v>
      </c>
    </row>
    <row r="557">
      <c r="A557" s="32">
        <v>4015.0</v>
      </c>
      <c r="B557" s="33">
        <v>23727.765</v>
      </c>
      <c r="C557" s="33">
        <v>-34209.3</v>
      </c>
      <c r="D557" s="33">
        <v>-96.554</v>
      </c>
    </row>
    <row r="558">
      <c r="A558" s="32">
        <v>4016.0</v>
      </c>
      <c r="B558" s="33">
        <v>25813.683</v>
      </c>
      <c r="C558" s="33">
        <v>-34147.482</v>
      </c>
      <c r="D558" s="33">
        <v>-111.881</v>
      </c>
    </row>
    <row r="559">
      <c r="A559" s="32">
        <v>4017.0</v>
      </c>
      <c r="B559" s="33">
        <v>27869.05</v>
      </c>
      <c r="C559" s="33">
        <v>-34134.725</v>
      </c>
      <c r="D559" s="33">
        <v>-110.409</v>
      </c>
    </row>
    <row r="560">
      <c r="A560" s="32">
        <v>4018.0</v>
      </c>
      <c r="B560" s="33">
        <v>29974.922</v>
      </c>
      <c r="C560" s="33">
        <v>-34067.964</v>
      </c>
      <c r="D560" s="33">
        <v>-125.085</v>
      </c>
    </row>
    <row r="561">
      <c r="A561" s="32">
        <v>4107.0</v>
      </c>
      <c r="B561" s="33">
        <v>7046.344</v>
      </c>
      <c r="C561" s="33">
        <v>-32463.739</v>
      </c>
      <c r="D561" s="33">
        <v>-7.635</v>
      </c>
    </row>
    <row r="562">
      <c r="A562" s="32">
        <v>4108.0</v>
      </c>
      <c r="B562" s="33">
        <v>9126.154</v>
      </c>
      <c r="C562" s="33">
        <v>-32427.25</v>
      </c>
      <c r="D562" s="33">
        <v>-38.022</v>
      </c>
    </row>
    <row r="563">
      <c r="A563" s="32">
        <v>4109.0</v>
      </c>
      <c r="B563" s="33">
        <v>11212.334</v>
      </c>
      <c r="C563" s="33">
        <v>-32372.609</v>
      </c>
      <c r="D563" s="33">
        <v>-56.715</v>
      </c>
    </row>
    <row r="564">
      <c r="A564" s="32">
        <v>4110.0</v>
      </c>
      <c r="B564" s="33">
        <v>13249.72</v>
      </c>
      <c r="C564" s="33">
        <v>-32311.911</v>
      </c>
      <c r="D564" s="33">
        <v>-60.418</v>
      </c>
    </row>
    <row r="565">
      <c r="A565" s="32">
        <v>4111.0</v>
      </c>
      <c r="B565" s="33">
        <v>15373.865</v>
      </c>
      <c r="C565" s="33">
        <v>-32289.248</v>
      </c>
      <c r="D565" s="33">
        <v>-68.762</v>
      </c>
    </row>
    <row r="566">
      <c r="A566" s="32">
        <v>4112.0</v>
      </c>
      <c r="B566" s="33">
        <v>17450.044</v>
      </c>
      <c r="C566" s="33">
        <v>-32244.035</v>
      </c>
      <c r="D566" s="33">
        <v>-74.367</v>
      </c>
    </row>
    <row r="567">
      <c r="A567" s="32">
        <v>4114.0</v>
      </c>
      <c r="B567" s="33">
        <v>21614.683</v>
      </c>
      <c r="C567" s="33">
        <v>-32168.263</v>
      </c>
      <c r="D567" s="33">
        <v>-85.007</v>
      </c>
    </row>
    <row r="568">
      <c r="A568" s="32">
        <v>4115.0</v>
      </c>
      <c r="B568" s="33">
        <v>23698.526</v>
      </c>
      <c r="C568" s="33">
        <v>-32105.808</v>
      </c>
      <c r="D568" s="33">
        <v>-96.623</v>
      </c>
    </row>
    <row r="569">
      <c r="A569" s="32">
        <v>4116.0</v>
      </c>
      <c r="B569" s="33">
        <v>25761.515</v>
      </c>
      <c r="C569" s="33">
        <v>-32070.367</v>
      </c>
      <c r="D569" s="33">
        <v>-94.73</v>
      </c>
    </row>
    <row r="570">
      <c r="A570" s="32">
        <v>4117.0</v>
      </c>
      <c r="B570" s="33">
        <v>27809.996</v>
      </c>
      <c r="C570" s="33">
        <v>-32007.099</v>
      </c>
      <c r="D570" s="33">
        <v>-96.941</v>
      </c>
    </row>
    <row r="571">
      <c r="A571" s="32">
        <v>4118.0</v>
      </c>
      <c r="B571" s="33">
        <v>29891.558</v>
      </c>
      <c r="C571" s="33">
        <v>-32006.851</v>
      </c>
      <c r="D571" s="33">
        <v>-111.432</v>
      </c>
    </row>
    <row r="572">
      <c r="A572" s="32">
        <v>4207.0</v>
      </c>
      <c r="B572" s="33">
        <v>-285.91</v>
      </c>
      <c r="C572" s="33">
        <v>1881.121</v>
      </c>
      <c r="D572" s="33">
        <v>6.77</v>
      </c>
    </row>
    <row r="573">
      <c r="A573" s="32">
        <v>4208.0</v>
      </c>
      <c r="B573" s="33">
        <v>9088.744</v>
      </c>
      <c r="C573" s="33">
        <v>-30342.629</v>
      </c>
      <c r="D573" s="33">
        <v>-30.435</v>
      </c>
    </row>
    <row r="574">
      <c r="A574" s="32">
        <v>4209.0</v>
      </c>
      <c r="B574" s="33">
        <v>11170.828</v>
      </c>
      <c r="C574" s="33">
        <v>-30294.663</v>
      </c>
      <c r="D574" s="33">
        <v>-50.679</v>
      </c>
    </row>
    <row r="575">
      <c r="A575" s="32">
        <v>4210.0</v>
      </c>
      <c r="B575" s="33">
        <v>13247.881</v>
      </c>
      <c r="C575" s="33">
        <v>-30248.987</v>
      </c>
      <c r="D575" s="33">
        <v>-59.131</v>
      </c>
    </row>
    <row r="576">
      <c r="A576" s="32">
        <v>4211.0</v>
      </c>
      <c r="B576" s="33">
        <v>15322.944</v>
      </c>
      <c r="C576" s="33">
        <v>-30210.678</v>
      </c>
      <c r="D576" s="33">
        <v>-62.14</v>
      </c>
    </row>
    <row r="577">
      <c r="A577" s="32">
        <v>4212.0</v>
      </c>
      <c r="B577" s="33">
        <v>17407.404</v>
      </c>
      <c r="C577" s="33">
        <v>-30161.578</v>
      </c>
      <c r="D577" s="33">
        <v>-66.627</v>
      </c>
    </row>
    <row r="578">
      <c r="A578" s="32">
        <v>4213.0</v>
      </c>
      <c r="B578" s="33">
        <v>19484.744</v>
      </c>
      <c r="C578" s="33">
        <v>-30117.376</v>
      </c>
      <c r="D578" s="33">
        <v>-73.306</v>
      </c>
    </row>
    <row r="579">
      <c r="A579" s="32">
        <v>4214.0</v>
      </c>
      <c r="B579" s="33">
        <v>21561.616</v>
      </c>
      <c r="C579" s="33">
        <v>-30419.834</v>
      </c>
      <c r="D579" s="33">
        <v>-84.418</v>
      </c>
    </row>
    <row r="580">
      <c r="A580" s="32">
        <v>4215.0</v>
      </c>
      <c r="B580" s="33">
        <v>23649.22</v>
      </c>
      <c r="C580" s="33">
        <v>-30027.396</v>
      </c>
      <c r="D580" s="33">
        <v>-89.601</v>
      </c>
    </row>
    <row r="581">
      <c r="A581" s="32">
        <v>4216.0</v>
      </c>
      <c r="B581" s="33">
        <v>25732.43</v>
      </c>
      <c r="C581" s="33">
        <v>-29989.326</v>
      </c>
      <c r="D581" s="33">
        <v>-90.994</v>
      </c>
    </row>
    <row r="582">
      <c r="A582" s="32">
        <v>4217.0</v>
      </c>
      <c r="B582" s="33">
        <v>27809.35</v>
      </c>
      <c r="C582" s="33">
        <v>-29939.736</v>
      </c>
      <c r="D582" s="33">
        <v>-92.344</v>
      </c>
    </row>
    <row r="583">
      <c r="A583" s="32">
        <v>4218.0</v>
      </c>
      <c r="B583" s="33">
        <v>29894.041</v>
      </c>
      <c r="C583" s="33">
        <v>-29900.183</v>
      </c>
      <c r="D583" s="33">
        <v>-103.194</v>
      </c>
    </row>
    <row r="584">
      <c r="A584" s="32">
        <v>4219.0</v>
      </c>
      <c r="B584" s="33">
        <v>31971.365</v>
      </c>
      <c r="C584" s="33">
        <v>-29857.135</v>
      </c>
      <c r="D584" s="33">
        <v>-108.901</v>
      </c>
    </row>
    <row r="585">
      <c r="A585" s="32">
        <v>4308.0</v>
      </c>
      <c r="B585" s="33">
        <v>9040.002</v>
      </c>
      <c r="C585" s="33">
        <v>-28259.099</v>
      </c>
      <c r="D585" s="33">
        <v>-28.931</v>
      </c>
    </row>
    <row r="586">
      <c r="A586" s="32">
        <v>4309.0</v>
      </c>
      <c r="B586" s="33">
        <v>11127.346</v>
      </c>
      <c r="C586" s="33">
        <v>-28216.372</v>
      </c>
      <c r="D586" s="33">
        <v>-46.876</v>
      </c>
    </row>
    <row r="587">
      <c r="A587" s="32">
        <v>4310.0</v>
      </c>
      <c r="B587" s="33">
        <v>13204.282</v>
      </c>
      <c r="C587" s="33">
        <v>-28167.499</v>
      </c>
      <c r="D587" s="33">
        <v>-53.015</v>
      </c>
    </row>
    <row r="588">
      <c r="A588" s="32">
        <v>4311.0</v>
      </c>
      <c r="B588" s="33">
        <v>15280.881</v>
      </c>
      <c r="C588" s="33">
        <v>-28130.757</v>
      </c>
      <c r="D588" s="33">
        <v>-54.673</v>
      </c>
    </row>
    <row r="589">
      <c r="A589" s="32">
        <v>4312.0</v>
      </c>
      <c r="B589" s="33">
        <v>17361.319</v>
      </c>
      <c r="C589" s="33">
        <v>-28077.902</v>
      </c>
      <c r="D589" s="33">
        <v>-58.885</v>
      </c>
    </row>
    <row r="590">
      <c r="A590" s="32">
        <v>4313.0</v>
      </c>
      <c r="B590" s="33">
        <v>19444.196</v>
      </c>
      <c r="C590" s="33">
        <v>-28044.578</v>
      </c>
      <c r="D590" s="33">
        <v>-65.768</v>
      </c>
    </row>
    <row r="591">
      <c r="A591" s="32">
        <v>4314.0</v>
      </c>
      <c r="B591" s="33">
        <v>21531.081</v>
      </c>
      <c r="C591" s="33">
        <v>-27997.575</v>
      </c>
      <c r="D591" s="33">
        <v>-75.844</v>
      </c>
    </row>
    <row r="592">
      <c r="A592" s="32">
        <v>4315.0</v>
      </c>
      <c r="B592" s="33">
        <v>23599.429</v>
      </c>
      <c r="C592" s="33">
        <v>-27952.201</v>
      </c>
      <c r="D592" s="33">
        <v>-82.291</v>
      </c>
    </row>
    <row r="593">
      <c r="A593" s="32">
        <v>4317.0</v>
      </c>
      <c r="B593" s="33">
        <v>27754.464</v>
      </c>
      <c r="C593" s="33">
        <v>-27879.92</v>
      </c>
      <c r="D593" s="33">
        <v>-80.685</v>
      </c>
    </row>
    <row r="594">
      <c r="A594" s="32">
        <v>4318.0</v>
      </c>
      <c r="B594" s="33">
        <v>29843.787</v>
      </c>
      <c r="C594" s="33">
        <v>-27822.861</v>
      </c>
      <c r="D594" s="33">
        <v>-81.605</v>
      </c>
    </row>
    <row r="595">
      <c r="A595" s="32">
        <v>4319.0</v>
      </c>
      <c r="B595" s="33">
        <v>31931.31</v>
      </c>
      <c r="C595" s="33">
        <v>-27775.914</v>
      </c>
      <c r="D595" s="33">
        <v>-82.913</v>
      </c>
    </row>
    <row r="596">
      <c r="A596" s="32">
        <v>4408.0</v>
      </c>
      <c r="B596" s="33">
        <v>8998.022</v>
      </c>
      <c r="C596" s="33">
        <v>-26180.386</v>
      </c>
      <c r="D596" s="33">
        <v>-41.978</v>
      </c>
    </row>
    <row r="597">
      <c r="A597" s="32">
        <v>4409.0</v>
      </c>
      <c r="B597" s="33">
        <v>11094.955</v>
      </c>
      <c r="C597" s="33">
        <v>-26132.613</v>
      </c>
      <c r="D597" s="33">
        <v>-45.16</v>
      </c>
    </row>
    <row r="598">
      <c r="A598" s="32">
        <v>4410.0</v>
      </c>
      <c r="B598" s="33">
        <v>13165.824</v>
      </c>
      <c r="C598" s="33">
        <v>-26094.1</v>
      </c>
      <c r="D598" s="33">
        <v>-47.624</v>
      </c>
    </row>
    <row r="599">
      <c r="A599" s="32">
        <v>4411.0</v>
      </c>
      <c r="B599" s="33">
        <v>15238.554</v>
      </c>
      <c r="C599" s="33">
        <v>-26046.696</v>
      </c>
      <c r="D599" s="33">
        <v>-53.528</v>
      </c>
    </row>
    <row r="600">
      <c r="A600" s="32">
        <v>4412.0</v>
      </c>
      <c r="B600" s="33">
        <v>17319.071</v>
      </c>
      <c r="C600" s="33">
        <v>-26004.071</v>
      </c>
      <c r="D600" s="33">
        <v>-56.586</v>
      </c>
    </row>
    <row r="601">
      <c r="A601" s="32">
        <v>4413.0</v>
      </c>
      <c r="B601" s="33">
        <v>19493.799</v>
      </c>
      <c r="C601" s="33">
        <v>-25984.629</v>
      </c>
      <c r="D601" s="33">
        <v>-64.373</v>
      </c>
    </row>
    <row r="602">
      <c r="A602" s="32">
        <v>4414.0</v>
      </c>
      <c r="B602" s="33">
        <v>21477.504</v>
      </c>
      <c r="C602" s="33">
        <v>-25915.039</v>
      </c>
      <c r="D602" s="33">
        <v>-69.9</v>
      </c>
    </row>
    <row r="603">
      <c r="A603" s="32">
        <v>4415.0</v>
      </c>
      <c r="B603" s="33">
        <v>23560.152</v>
      </c>
      <c r="C603" s="33">
        <v>-25874.0</v>
      </c>
      <c r="D603" s="33">
        <v>-67.645</v>
      </c>
    </row>
    <row r="604">
      <c r="A604" s="32">
        <v>4416.0</v>
      </c>
      <c r="B604" s="33">
        <v>25560.3</v>
      </c>
      <c r="C604" s="33">
        <v>-25766.354</v>
      </c>
      <c r="D604" s="33">
        <v>-73.188</v>
      </c>
    </row>
    <row r="605">
      <c r="A605" s="32">
        <v>4417.0</v>
      </c>
      <c r="B605" s="33">
        <v>27745.995</v>
      </c>
      <c r="C605" s="33">
        <v>-25826.011</v>
      </c>
      <c r="D605" s="33">
        <v>-76.06</v>
      </c>
    </row>
    <row r="606">
      <c r="A606" s="32">
        <v>4418.0</v>
      </c>
      <c r="B606" s="33">
        <v>29804.893</v>
      </c>
      <c r="C606" s="33">
        <v>-25732.345</v>
      </c>
      <c r="D606" s="33">
        <v>-68.224</v>
      </c>
    </row>
    <row r="607">
      <c r="A607" s="32">
        <v>4419.0</v>
      </c>
      <c r="B607" s="33">
        <v>31886.804</v>
      </c>
      <c r="C607" s="33">
        <v>-25700.809</v>
      </c>
      <c r="D607" s="33">
        <v>-55.12</v>
      </c>
    </row>
    <row r="608">
      <c r="A608" s="32">
        <v>4508.0</v>
      </c>
      <c r="B608" s="33">
        <v>8952.615</v>
      </c>
      <c r="C608" s="33">
        <v>-24092.645</v>
      </c>
      <c r="D608" s="33">
        <v>-37.376</v>
      </c>
    </row>
    <row r="609">
      <c r="A609" s="32">
        <v>4509.0</v>
      </c>
      <c r="B609" s="33">
        <v>11035.332</v>
      </c>
      <c r="C609" s="33">
        <v>-24054.901</v>
      </c>
      <c r="D609" s="33">
        <v>-39.632</v>
      </c>
    </row>
    <row r="610">
      <c r="A610" s="32">
        <v>4510.0</v>
      </c>
      <c r="B610" s="33">
        <v>13020.019</v>
      </c>
      <c r="C610" s="33">
        <v>-23994.442</v>
      </c>
      <c r="D610" s="33">
        <v>-43.5</v>
      </c>
    </row>
    <row r="611">
      <c r="A611" s="32">
        <v>4511.0</v>
      </c>
      <c r="B611" s="33">
        <v>15193.854</v>
      </c>
      <c r="C611" s="33">
        <v>-23971.429</v>
      </c>
      <c r="D611" s="33">
        <v>-47.504</v>
      </c>
    </row>
    <row r="612">
      <c r="A612" s="32">
        <v>4512.0</v>
      </c>
      <c r="B612" s="33">
        <v>17276.672</v>
      </c>
      <c r="C612" s="33">
        <v>-23926.035</v>
      </c>
      <c r="D612" s="33">
        <v>-50.187</v>
      </c>
    </row>
    <row r="613">
      <c r="A613" s="32">
        <v>4513.0</v>
      </c>
      <c r="B613" s="33">
        <v>19352.978</v>
      </c>
      <c r="C613" s="33">
        <v>-23889.403</v>
      </c>
      <c r="D613" s="33">
        <v>-60.542</v>
      </c>
    </row>
    <row r="614">
      <c r="A614" s="32">
        <v>4514.0</v>
      </c>
      <c r="B614" s="33">
        <v>21382.288</v>
      </c>
      <c r="C614" s="33">
        <v>-23755.55</v>
      </c>
      <c r="D614" s="33">
        <v>-63.541</v>
      </c>
    </row>
    <row r="615">
      <c r="A615" s="32">
        <v>4515.0</v>
      </c>
      <c r="B615" s="33">
        <v>23517.696</v>
      </c>
      <c r="C615" s="33">
        <v>-23792.284</v>
      </c>
      <c r="D615" s="33">
        <v>-72.263</v>
      </c>
    </row>
    <row r="616">
      <c r="A616" s="32">
        <v>4516.0</v>
      </c>
      <c r="B616" s="33">
        <v>25796.177</v>
      </c>
      <c r="C616" s="33">
        <v>-23745.138</v>
      </c>
      <c r="D616" s="33">
        <v>-79.622</v>
      </c>
    </row>
    <row r="617">
      <c r="A617" s="32">
        <v>4517.0</v>
      </c>
      <c r="B617" s="33">
        <v>27654.474</v>
      </c>
      <c r="C617" s="33">
        <v>-23734.184</v>
      </c>
      <c r="D617" s="33">
        <v>-73.165</v>
      </c>
    </row>
    <row r="618">
      <c r="A618" s="32">
        <v>4518.0</v>
      </c>
      <c r="B618" s="33">
        <v>29761.002</v>
      </c>
      <c r="C618" s="33">
        <v>-23668.482</v>
      </c>
      <c r="D618" s="33">
        <v>-56.667</v>
      </c>
    </row>
    <row r="619">
      <c r="A619" s="32">
        <v>4519.0</v>
      </c>
      <c r="B619" s="33">
        <v>31880.036</v>
      </c>
      <c r="C619" s="33">
        <v>-23601.543</v>
      </c>
      <c r="D619" s="33">
        <v>-27.951</v>
      </c>
    </row>
    <row r="620">
      <c r="A620" s="32">
        <v>4609.0</v>
      </c>
      <c r="B620" s="33">
        <v>10997.187</v>
      </c>
      <c r="C620" s="33">
        <v>-21971.04</v>
      </c>
      <c r="D620" s="33">
        <v>-35.678</v>
      </c>
    </row>
    <row r="621">
      <c r="A621" s="32">
        <v>4610.0</v>
      </c>
      <c r="B621" s="33">
        <v>13382.327</v>
      </c>
      <c r="C621" s="33">
        <v>-21923.698</v>
      </c>
      <c r="D621" s="33">
        <v>-36.626</v>
      </c>
    </row>
    <row r="622">
      <c r="A622" s="32">
        <v>4611.0</v>
      </c>
      <c r="B622" s="33">
        <v>15157.026</v>
      </c>
      <c r="C622" s="33">
        <v>-21883.597</v>
      </c>
      <c r="D622" s="33">
        <v>-40.403</v>
      </c>
    </row>
    <row r="623">
      <c r="A623" s="32">
        <v>4612.0</v>
      </c>
      <c r="B623" s="33">
        <v>17241.521</v>
      </c>
      <c r="C623" s="33">
        <v>-21830.984</v>
      </c>
      <c r="D623" s="33">
        <v>-44.548</v>
      </c>
    </row>
    <row r="624">
      <c r="A624" s="32">
        <v>4613.0</v>
      </c>
      <c r="B624" s="33">
        <v>19311.742</v>
      </c>
      <c r="C624" s="33">
        <v>-21798.258</v>
      </c>
      <c r="D624" s="33">
        <v>-56.199</v>
      </c>
    </row>
    <row r="625">
      <c r="A625" s="32">
        <v>4614.0</v>
      </c>
      <c r="B625" s="33">
        <v>21391.085</v>
      </c>
      <c r="C625" s="33">
        <v>-21805.97</v>
      </c>
      <c r="D625" s="33">
        <v>-58.34</v>
      </c>
    </row>
    <row r="626">
      <c r="A626" s="32">
        <v>4615.0</v>
      </c>
      <c r="B626" s="33">
        <v>23487.004</v>
      </c>
      <c r="C626" s="33">
        <v>-21712.808</v>
      </c>
      <c r="D626" s="33">
        <v>-61.344</v>
      </c>
    </row>
    <row r="627">
      <c r="A627" s="32">
        <v>4616.0</v>
      </c>
      <c r="B627" s="33">
        <v>25777.409</v>
      </c>
      <c r="C627" s="33">
        <v>-21424.772</v>
      </c>
      <c r="D627" s="33">
        <v>-70.289</v>
      </c>
    </row>
    <row r="628">
      <c r="A628" s="32">
        <v>4617.0</v>
      </c>
      <c r="B628" s="33">
        <v>27606.706</v>
      </c>
      <c r="C628" s="33">
        <v>-21606.82</v>
      </c>
      <c r="D628" s="33">
        <v>-57.968</v>
      </c>
    </row>
    <row r="629">
      <c r="A629" s="32">
        <v>4618.0</v>
      </c>
      <c r="B629" s="33">
        <v>29688.599</v>
      </c>
      <c r="C629" s="33">
        <v>-21596.142</v>
      </c>
      <c r="D629" s="33">
        <v>-52.368</v>
      </c>
    </row>
    <row r="630">
      <c r="A630" s="32">
        <v>4710.0</v>
      </c>
      <c r="B630" s="33">
        <v>13024.321</v>
      </c>
      <c r="C630" s="33">
        <v>-19857.37</v>
      </c>
      <c r="D630" s="33">
        <v>-32.172</v>
      </c>
    </row>
    <row r="631">
      <c r="A631" s="32">
        <v>4711.0</v>
      </c>
      <c r="B631" s="33">
        <v>15114.267</v>
      </c>
      <c r="C631" s="33">
        <v>-19809.308</v>
      </c>
      <c r="D631" s="33">
        <v>-36.135</v>
      </c>
    </row>
    <row r="632">
      <c r="A632" s="32">
        <v>4712.0</v>
      </c>
      <c r="B632" s="33">
        <v>17158.712</v>
      </c>
      <c r="C632" s="33">
        <v>-19772.002</v>
      </c>
      <c r="D632" s="33">
        <v>-41.273</v>
      </c>
    </row>
    <row r="633">
      <c r="A633" s="32">
        <v>4713.0</v>
      </c>
      <c r="B633" s="33">
        <v>19275.565</v>
      </c>
      <c r="C633" s="33">
        <v>-19716.867</v>
      </c>
      <c r="D633" s="33">
        <v>-52.279</v>
      </c>
    </row>
    <row r="634">
      <c r="A634" s="32">
        <v>4714.0</v>
      </c>
      <c r="B634" s="33">
        <v>21348.841</v>
      </c>
      <c r="C634" s="33">
        <v>-19671.628</v>
      </c>
      <c r="D634" s="33">
        <v>-56.501</v>
      </c>
    </row>
    <row r="635">
      <c r="A635" s="32">
        <v>4716.0</v>
      </c>
      <c r="B635" s="33">
        <v>25502.528</v>
      </c>
      <c r="C635" s="33">
        <v>-19587.141</v>
      </c>
      <c r="D635" s="33">
        <v>-67.273</v>
      </c>
    </row>
    <row r="636">
      <c r="A636" s="32">
        <v>4717.0</v>
      </c>
      <c r="B636" s="33">
        <v>27587.983</v>
      </c>
      <c r="C636" s="33">
        <v>-19546.51</v>
      </c>
      <c r="D636" s="33">
        <v>-46.674</v>
      </c>
    </row>
    <row r="637">
      <c r="A637" s="32">
        <v>4811.0</v>
      </c>
      <c r="B637" s="33">
        <v>15063.474</v>
      </c>
      <c r="C637" s="33">
        <v>-17729.919</v>
      </c>
      <c r="D637" s="33">
        <v>-32.89</v>
      </c>
    </row>
    <row r="638">
      <c r="A638" s="32">
        <v>4812.0</v>
      </c>
      <c r="B638" s="33">
        <v>17139.789</v>
      </c>
      <c r="C638" s="33">
        <v>-17684.118</v>
      </c>
      <c r="D638" s="33">
        <v>-37.277</v>
      </c>
    </row>
    <row r="639">
      <c r="A639" s="32">
        <v>4813.0</v>
      </c>
      <c r="B639" s="33">
        <v>19224.103</v>
      </c>
      <c r="C639" s="33">
        <v>-17636.067</v>
      </c>
      <c r="D639" s="33">
        <v>-46.956</v>
      </c>
    </row>
    <row r="640">
      <c r="A640" s="32">
        <v>4814.0</v>
      </c>
      <c r="B640" s="33">
        <v>21302.626</v>
      </c>
      <c r="C640" s="33">
        <v>-17591.824</v>
      </c>
      <c r="D640" s="33">
        <v>-51.476</v>
      </c>
    </row>
    <row r="641">
      <c r="A641" s="32">
        <v>4815.0</v>
      </c>
      <c r="B641" s="33">
        <v>24132.824</v>
      </c>
      <c r="C641" s="33">
        <v>-17647.24</v>
      </c>
      <c r="D641" s="33">
        <v>-59.105</v>
      </c>
    </row>
    <row r="642">
      <c r="A642" s="32">
        <v>5401.0</v>
      </c>
      <c r="B642" s="33">
        <v>-8014.068</v>
      </c>
      <c r="C642" s="33">
        <v>18093.243</v>
      </c>
      <c r="D642" s="33">
        <v>194.812</v>
      </c>
    </row>
    <row r="643">
      <c r="A643" s="32">
        <v>5402.0</v>
      </c>
      <c r="B643" s="33">
        <v>-7604.224</v>
      </c>
      <c r="C643" s="33">
        <v>17992.642</v>
      </c>
      <c r="D643" s="33">
        <v>187.908</v>
      </c>
    </row>
    <row r="644">
      <c r="A644" s="32">
        <v>5403.0</v>
      </c>
      <c r="B644" s="33">
        <v>-7198.173</v>
      </c>
      <c r="C644" s="33">
        <v>17966.244</v>
      </c>
      <c r="D644" s="33">
        <v>179.233</v>
      </c>
    </row>
    <row r="645">
      <c r="A645" s="32">
        <v>5405.0</v>
      </c>
      <c r="B645" s="33">
        <v>-6411.189</v>
      </c>
      <c r="C645" s="33">
        <v>18252.704</v>
      </c>
      <c r="D645" s="33">
        <v>168.536</v>
      </c>
    </row>
    <row r="646">
      <c r="A646" s="32">
        <v>5406.0</v>
      </c>
      <c r="B646" s="33">
        <v>-6110.278</v>
      </c>
      <c r="C646" s="33">
        <v>18529.513</v>
      </c>
      <c r="D646" s="33">
        <v>160.281</v>
      </c>
    </row>
    <row r="647">
      <c r="A647" s="32">
        <v>5407.0</v>
      </c>
      <c r="B647" s="33">
        <v>-5884.397</v>
      </c>
      <c r="C647" s="33">
        <v>18886.823</v>
      </c>
      <c r="D647" s="33">
        <v>162.902</v>
      </c>
    </row>
    <row r="648">
      <c r="A648" s="32">
        <v>5501.0</v>
      </c>
      <c r="B648" s="33">
        <v>-8264.556</v>
      </c>
      <c r="C648" s="33">
        <v>17788.783</v>
      </c>
      <c r="D648" s="33">
        <v>196.791</v>
      </c>
    </row>
    <row r="649">
      <c r="A649" s="32">
        <v>5502.0</v>
      </c>
      <c r="B649" s="33">
        <v>-7879.981</v>
      </c>
      <c r="C649" s="33">
        <v>17626.888</v>
      </c>
      <c r="D649" s="33">
        <v>187.948</v>
      </c>
    </row>
    <row r="650">
      <c r="A650" s="32">
        <v>5503.0</v>
      </c>
      <c r="B650" s="33">
        <v>-7469.225</v>
      </c>
      <c r="C650" s="33">
        <v>17555.953</v>
      </c>
      <c r="D650" s="33">
        <v>184.017</v>
      </c>
    </row>
    <row r="651">
      <c r="A651" s="32">
        <v>5505.0</v>
      </c>
      <c r="B651" s="33">
        <v>-6624.942</v>
      </c>
      <c r="C651" s="33">
        <v>17630.986</v>
      </c>
      <c r="D651" s="33">
        <v>166.331</v>
      </c>
    </row>
    <row r="652">
      <c r="A652" s="32">
        <v>5508.0</v>
      </c>
      <c r="B652" s="33">
        <v>-5630.793</v>
      </c>
      <c r="C652" s="33">
        <v>18438.073</v>
      </c>
      <c r="D652" s="33">
        <v>155.207</v>
      </c>
    </row>
    <row r="653">
      <c r="A653" s="32">
        <v>5509.0</v>
      </c>
      <c r="B653" s="33">
        <v>-5471.819</v>
      </c>
      <c r="C653" s="33">
        <v>18786.337</v>
      </c>
      <c r="D653" s="33">
        <v>158.006</v>
      </c>
    </row>
    <row r="654">
      <c r="A654" s="32">
        <v>5601.0</v>
      </c>
      <c r="B654" s="33">
        <v>-8528.024</v>
      </c>
      <c r="C654" s="33">
        <v>17454.947</v>
      </c>
      <c r="D654" s="33">
        <v>210.03</v>
      </c>
    </row>
    <row r="655">
      <c r="A655" s="32">
        <v>5602.0</v>
      </c>
      <c r="B655" s="33">
        <v>-8146.762</v>
      </c>
      <c r="C655" s="33">
        <v>17328.923</v>
      </c>
      <c r="D655" s="33">
        <v>205.072</v>
      </c>
    </row>
    <row r="656">
      <c r="A656" s="32">
        <v>5603.0</v>
      </c>
      <c r="B656" s="33">
        <v>-7810.523</v>
      </c>
      <c r="C656" s="33">
        <v>17188.509</v>
      </c>
      <c r="D656" s="33">
        <v>193.332</v>
      </c>
    </row>
    <row r="657">
      <c r="A657" s="32">
        <v>5604.0</v>
      </c>
      <c r="B657" s="33">
        <v>-7334.461</v>
      </c>
      <c r="C657" s="33">
        <v>17128.929</v>
      </c>
      <c r="D657" s="33">
        <v>179.967</v>
      </c>
    </row>
    <row r="658">
      <c r="A658" s="32">
        <v>5605.0</v>
      </c>
      <c r="B658" s="33">
        <v>-6863.158</v>
      </c>
      <c r="C658" s="33">
        <v>17235.078</v>
      </c>
      <c r="D658" s="33">
        <v>168.934</v>
      </c>
    </row>
    <row r="659">
      <c r="A659" s="32">
        <v>5606.0</v>
      </c>
      <c r="B659" s="33">
        <v>-6515.295</v>
      </c>
      <c r="C659" s="33">
        <v>17277.286</v>
      </c>
      <c r="D659" s="33">
        <v>159.874</v>
      </c>
    </row>
    <row r="660">
      <c r="A660" s="32">
        <v>5607.0</v>
      </c>
      <c r="B660" s="33">
        <v>-6133.684</v>
      </c>
      <c r="C660" s="33">
        <v>17437.872</v>
      </c>
      <c r="D660" s="33">
        <v>153.594</v>
      </c>
    </row>
    <row r="661">
      <c r="A661" s="32">
        <v>5608.0</v>
      </c>
      <c r="B661" s="33">
        <v>-5775.106</v>
      </c>
      <c r="C661" s="33">
        <v>17685.249</v>
      </c>
      <c r="D661" s="33">
        <v>156.105</v>
      </c>
    </row>
    <row r="662">
      <c r="A662" s="32">
        <v>5609.0</v>
      </c>
      <c r="B662" s="33">
        <v>-5484.528</v>
      </c>
      <c r="C662" s="33">
        <v>17970.662</v>
      </c>
      <c r="D662" s="33">
        <v>155.522</v>
      </c>
    </row>
    <row r="663">
      <c r="A663" s="32">
        <v>5610.0</v>
      </c>
      <c r="B663" s="33">
        <v>-5232.054</v>
      </c>
      <c r="C663" s="33">
        <v>18323.607</v>
      </c>
      <c r="D663" s="33">
        <v>146.437</v>
      </c>
    </row>
    <row r="664">
      <c r="A664" s="32">
        <v>5611.0</v>
      </c>
      <c r="B664" s="33">
        <v>-5057.154</v>
      </c>
      <c r="C664" s="33">
        <v>18694.625</v>
      </c>
      <c r="D664" s="33">
        <v>146.238</v>
      </c>
    </row>
    <row r="665">
      <c r="A665" s="32">
        <v>5701.0</v>
      </c>
      <c r="B665" s="33">
        <v>-8747.19</v>
      </c>
      <c r="C665" s="33">
        <v>17192.047</v>
      </c>
      <c r="D665" s="33">
        <v>228.719</v>
      </c>
    </row>
    <row r="666">
      <c r="A666" s="32">
        <v>5702.0</v>
      </c>
      <c r="B666" s="33">
        <v>-8383.439</v>
      </c>
      <c r="C666" s="33">
        <v>16937.636</v>
      </c>
      <c r="D666" s="33">
        <v>217.229</v>
      </c>
    </row>
    <row r="667">
      <c r="A667" s="32">
        <v>5703.0</v>
      </c>
      <c r="B667" s="33">
        <v>-8005.176</v>
      </c>
      <c r="C667" s="33">
        <v>16799.186</v>
      </c>
      <c r="D667" s="33">
        <v>212.571</v>
      </c>
    </row>
    <row r="668">
      <c r="A668" s="32">
        <v>5704.0</v>
      </c>
      <c r="B668" s="33">
        <v>-7589.724</v>
      </c>
      <c r="C668" s="33">
        <v>16720.668</v>
      </c>
      <c r="D668" s="33">
        <v>200.505</v>
      </c>
    </row>
    <row r="669">
      <c r="A669" s="32">
        <v>5705.0</v>
      </c>
      <c r="B669" s="33">
        <v>-7193.657</v>
      </c>
      <c r="C669" s="33">
        <v>16708.695</v>
      </c>
      <c r="D669" s="33">
        <v>182.785</v>
      </c>
    </row>
    <row r="670">
      <c r="A670" s="32">
        <v>5706.0</v>
      </c>
      <c r="B670" s="33">
        <v>-6737.061</v>
      </c>
      <c r="C670" s="33">
        <v>16711.042</v>
      </c>
      <c r="D670" s="33">
        <v>175.616</v>
      </c>
    </row>
    <row r="671">
      <c r="A671" s="32">
        <v>5707.0</v>
      </c>
      <c r="B671" s="33">
        <v>-6361.954</v>
      </c>
      <c r="C671" s="33">
        <v>16872.5</v>
      </c>
      <c r="D671" s="33">
        <v>164.685</v>
      </c>
    </row>
    <row r="672">
      <c r="A672" s="32">
        <v>5708.0</v>
      </c>
      <c r="B672" s="33">
        <v>-5975.273</v>
      </c>
      <c r="C672" s="33">
        <v>16996.547</v>
      </c>
      <c r="D672" s="33">
        <v>156.048</v>
      </c>
    </row>
    <row r="673">
      <c r="A673" s="32">
        <v>5709.0</v>
      </c>
      <c r="B673" s="33">
        <v>-5617.511</v>
      </c>
      <c r="C673" s="33">
        <v>17268.552</v>
      </c>
      <c r="D673" s="33">
        <v>146.07</v>
      </c>
    </row>
    <row r="674">
      <c r="A674" s="32">
        <v>5710.0</v>
      </c>
      <c r="B674" s="33">
        <v>-5319.623</v>
      </c>
      <c r="C674" s="33">
        <v>17530.869</v>
      </c>
      <c r="D674" s="33">
        <v>146.558</v>
      </c>
    </row>
    <row r="675">
      <c r="A675" s="32">
        <v>5711.0</v>
      </c>
      <c r="B675" s="33">
        <v>-5040.909</v>
      </c>
      <c r="C675" s="33">
        <v>17855.164</v>
      </c>
      <c r="D675" s="33">
        <v>142.372</v>
      </c>
    </row>
    <row r="676">
      <c r="A676" s="32">
        <v>5712.0</v>
      </c>
      <c r="B676" s="33">
        <v>-4814.195</v>
      </c>
      <c r="C676" s="33">
        <v>18208.599</v>
      </c>
      <c r="D676" s="33">
        <v>139.175</v>
      </c>
    </row>
    <row r="677">
      <c r="A677" s="32">
        <v>5713.0</v>
      </c>
      <c r="B677" s="33">
        <v>-4644.29</v>
      </c>
      <c r="C677" s="33">
        <v>18601.72</v>
      </c>
      <c r="D677" s="33">
        <v>136.124</v>
      </c>
    </row>
    <row r="678">
      <c r="A678" s="32">
        <v>5802.0</v>
      </c>
      <c r="B678" s="33">
        <v>-8711.383</v>
      </c>
      <c r="C678" s="33">
        <v>16355.705</v>
      </c>
      <c r="D678" s="33">
        <v>243.353</v>
      </c>
    </row>
    <row r="679">
      <c r="A679" s="32">
        <v>5804.0</v>
      </c>
      <c r="B679" s="33">
        <v>-7378.338</v>
      </c>
      <c r="C679" s="33">
        <v>16018.084</v>
      </c>
      <c r="D679" s="33">
        <v>210.67</v>
      </c>
    </row>
    <row r="680">
      <c r="A680" s="32">
        <v>5805.0</v>
      </c>
      <c r="B680" s="33">
        <v>-6683.082</v>
      </c>
      <c r="C680" s="33">
        <v>16108.331</v>
      </c>
      <c r="D680" s="33">
        <v>180.908</v>
      </c>
    </row>
    <row r="681">
      <c r="A681" s="32">
        <v>5806.0</v>
      </c>
      <c r="B681" s="33">
        <v>-6150.535</v>
      </c>
      <c r="C681" s="33">
        <v>16283.205</v>
      </c>
      <c r="D681" s="33">
        <v>166.437</v>
      </c>
    </row>
    <row r="682">
      <c r="A682" s="32">
        <v>5807.0</v>
      </c>
      <c r="B682" s="33">
        <v>-5579.984</v>
      </c>
      <c r="C682" s="33">
        <v>16544.824</v>
      </c>
      <c r="D682" s="33">
        <v>154.286</v>
      </c>
    </row>
    <row r="683">
      <c r="A683" s="32">
        <v>5808.0</v>
      </c>
      <c r="B683" s="33">
        <v>-5080.384</v>
      </c>
      <c r="C683" s="33">
        <v>16859.058</v>
      </c>
      <c r="D683" s="33">
        <v>142.088</v>
      </c>
    </row>
    <row r="684">
      <c r="A684" s="32">
        <v>5809.0</v>
      </c>
      <c r="B684" s="33">
        <v>-4633.064</v>
      </c>
      <c r="C684" s="33">
        <v>17354.483</v>
      </c>
      <c r="D684" s="33">
        <v>131.776</v>
      </c>
    </row>
    <row r="685">
      <c r="A685" s="32">
        <v>5810.0</v>
      </c>
      <c r="B685" s="33">
        <v>-4282.9</v>
      </c>
      <c r="C685" s="33">
        <v>17876.334</v>
      </c>
      <c r="D685" s="33">
        <v>131.676</v>
      </c>
    </row>
    <row r="686">
      <c r="A686" s="32">
        <v>5904.0</v>
      </c>
      <c r="B686" s="33">
        <v>-7539.163</v>
      </c>
      <c r="C686" s="33">
        <v>15611.258</v>
      </c>
      <c r="D686" s="33">
        <v>221.374</v>
      </c>
    </row>
    <row r="687">
      <c r="A687" s="32">
        <v>5905.0</v>
      </c>
      <c r="B687" s="33">
        <v>-7029.079</v>
      </c>
      <c r="C687" s="33">
        <v>15336.302</v>
      </c>
      <c r="D687" s="33">
        <v>193.434</v>
      </c>
    </row>
    <row r="688">
      <c r="A688" s="32">
        <v>5906.0</v>
      </c>
      <c r="B688" s="33">
        <v>-6556.231</v>
      </c>
      <c r="C688" s="33">
        <v>15502.745</v>
      </c>
      <c r="D688" s="33">
        <v>171.223</v>
      </c>
    </row>
    <row r="689">
      <c r="A689" s="32">
        <v>5907.0</v>
      </c>
      <c r="B689" s="33">
        <v>-5943.738</v>
      </c>
      <c r="C689" s="33">
        <v>15688.922</v>
      </c>
      <c r="D689" s="33">
        <v>167.906</v>
      </c>
    </row>
    <row r="690">
      <c r="A690" s="32">
        <v>5908.0</v>
      </c>
      <c r="B690" s="33">
        <v>-5368.41</v>
      </c>
      <c r="C690" s="33">
        <v>15946.091</v>
      </c>
      <c r="D690" s="33">
        <v>147.516</v>
      </c>
    </row>
    <row r="691">
      <c r="A691" s="32">
        <v>5909.0</v>
      </c>
      <c r="B691" s="33">
        <v>-4838.37</v>
      </c>
      <c r="C691" s="33">
        <v>16285.971</v>
      </c>
      <c r="D691" s="33">
        <v>134.739</v>
      </c>
    </row>
    <row r="692">
      <c r="A692" s="32">
        <v>5910.0</v>
      </c>
      <c r="B692" s="33">
        <v>-4367.059</v>
      </c>
      <c r="C692" s="33">
        <v>16705.118</v>
      </c>
      <c r="D692" s="33">
        <v>129.482</v>
      </c>
    </row>
    <row r="693">
      <c r="A693" s="32">
        <v>5911.0</v>
      </c>
      <c r="B693" s="33">
        <v>-3969.806</v>
      </c>
      <c r="C693" s="33">
        <v>17187.289</v>
      </c>
      <c r="D693" s="33">
        <v>121.667</v>
      </c>
    </row>
    <row r="694">
      <c r="A694" s="32">
        <v>5912.0</v>
      </c>
      <c r="B694" s="33">
        <v>-3649.285</v>
      </c>
      <c r="C694" s="33">
        <v>17728.17</v>
      </c>
      <c r="D694" s="33">
        <v>120.824</v>
      </c>
    </row>
    <row r="695">
      <c r="A695" s="32">
        <v>5913.0</v>
      </c>
      <c r="B695" s="33">
        <v>-3415.73</v>
      </c>
      <c r="C695" s="33">
        <v>18310.29</v>
      </c>
      <c r="D695" s="33">
        <v>115.594</v>
      </c>
    </row>
    <row r="696">
      <c r="A696" s="32">
        <v>6008.0</v>
      </c>
      <c r="B696" s="33">
        <v>-5416.521</v>
      </c>
      <c r="C696" s="33">
        <v>15237.954</v>
      </c>
      <c r="D696" s="33">
        <v>148.561</v>
      </c>
    </row>
    <row r="697">
      <c r="A697" s="32">
        <v>6010.0</v>
      </c>
      <c r="B697" s="33">
        <v>-4363.402</v>
      </c>
      <c r="C697" s="33">
        <v>15857.469</v>
      </c>
      <c r="D697" s="33">
        <v>131.633</v>
      </c>
    </row>
    <row r="698">
      <c r="A698" s="32">
        <v>6011.0</v>
      </c>
      <c r="B698" s="33">
        <v>-3886.999</v>
      </c>
      <c r="C698" s="33">
        <v>16294.618</v>
      </c>
      <c r="D698" s="33">
        <v>120.646</v>
      </c>
    </row>
    <row r="699">
      <c r="A699" s="32">
        <v>6012.0</v>
      </c>
      <c r="B699" s="33">
        <v>-3498.803</v>
      </c>
      <c r="C699" s="33">
        <v>16767.274</v>
      </c>
      <c r="D699" s="33">
        <v>115.763</v>
      </c>
    </row>
    <row r="700">
      <c r="A700" s="32">
        <v>6013.0</v>
      </c>
      <c r="B700" s="33">
        <v>-3165.299</v>
      </c>
      <c r="C700" s="33">
        <v>17298.386</v>
      </c>
      <c r="D700" s="33">
        <v>111.015</v>
      </c>
    </row>
    <row r="701">
      <c r="A701" s="32">
        <v>6014.0</v>
      </c>
      <c r="B701" s="33">
        <v>-2901.124</v>
      </c>
      <c r="C701" s="33">
        <v>17874.623</v>
      </c>
      <c r="D701" s="33">
        <v>106.267</v>
      </c>
    </row>
    <row r="702">
      <c r="A702" s="32">
        <v>6109.0</v>
      </c>
      <c r="B702" s="33">
        <v>-5222.044</v>
      </c>
      <c r="C702" s="33">
        <v>14626.241</v>
      </c>
      <c r="D702" s="33">
        <v>138.538</v>
      </c>
    </row>
    <row r="703">
      <c r="A703" s="32">
        <v>6110.0</v>
      </c>
      <c r="B703" s="33">
        <v>-4661.999</v>
      </c>
      <c r="C703" s="33">
        <v>14899.505</v>
      </c>
      <c r="D703" s="33">
        <v>134.888</v>
      </c>
    </row>
    <row r="704">
      <c r="A704" s="32">
        <v>6111.0</v>
      </c>
      <c r="B704" s="33">
        <v>-4134.68</v>
      </c>
      <c r="C704" s="33">
        <v>15240.006</v>
      </c>
      <c r="D704" s="33">
        <v>128.794</v>
      </c>
    </row>
    <row r="705">
      <c r="A705" s="32">
        <v>6112.0</v>
      </c>
      <c r="B705" s="33">
        <v>-3649.227</v>
      </c>
      <c r="C705" s="33">
        <v>15646.299</v>
      </c>
      <c r="D705" s="33">
        <v>120.534</v>
      </c>
    </row>
    <row r="706">
      <c r="A706" s="32">
        <v>6113.0</v>
      </c>
      <c r="B706" s="33">
        <v>-3221.671</v>
      </c>
      <c r="C706" s="33">
        <v>16098.849</v>
      </c>
      <c r="D706" s="33">
        <v>114.755</v>
      </c>
    </row>
    <row r="707">
      <c r="A707" s="32">
        <v>6114.0</v>
      </c>
      <c r="B707" s="33">
        <v>-2847.01</v>
      </c>
      <c r="C707" s="33">
        <v>16604.069</v>
      </c>
      <c r="D707" s="33">
        <v>105.244</v>
      </c>
    </row>
    <row r="708">
      <c r="A708" s="32">
        <v>6116.0</v>
      </c>
      <c r="B708" s="33">
        <v>-2284.876</v>
      </c>
      <c r="C708" s="33">
        <v>17727.685</v>
      </c>
      <c r="D708" s="33">
        <v>94.109</v>
      </c>
    </row>
    <row r="709">
      <c r="A709" s="32">
        <v>6407.0</v>
      </c>
      <c r="B709" s="33">
        <v>5952.508</v>
      </c>
      <c r="C709" s="33">
        <v>19538.194</v>
      </c>
      <c r="D709" s="33">
        <v>-18.819</v>
      </c>
    </row>
    <row r="710">
      <c r="A710" s="32">
        <v>6408.0</v>
      </c>
      <c r="B710" s="33">
        <v>8032.913</v>
      </c>
      <c r="C710" s="33">
        <v>19586.911</v>
      </c>
      <c r="D710" s="33">
        <v>-25.706</v>
      </c>
    </row>
    <row r="711">
      <c r="A711" s="32">
        <v>6409.0</v>
      </c>
      <c r="B711" s="33">
        <v>10142.219</v>
      </c>
      <c r="C711" s="33">
        <v>19628.786</v>
      </c>
      <c r="D711" s="33">
        <v>-31.726</v>
      </c>
    </row>
    <row r="712">
      <c r="A712" s="32">
        <v>6506.0</v>
      </c>
      <c r="B712" s="33">
        <v>3831.885</v>
      </c>
      <c r="C712" s="33">
        <v>21574.963</v>
      </c>
      <c r="D712" s="33">
        <v>-14.055</v>
      </c>
    </row>
    <row r="713">
      <c r="A713" s="32">
        <v>6507.0</v>
      </c>
      <c r="B713" s="33">
        <v>5910.731</v>
      </c>
      <c r="C713" s="33">
        <v>21616.542</v>
      </c>
      <c r="D713" s="33">
        <v>-25.432</v>
      </c>
    </row>
    <row r="714">
      <c r="A714" s="32">
        <v>6508.0</v>
      </c>
      <c r="B714" s="33">
        <v>7988.857</v>
      </c>
      <c r="C714" s="33">
        <v>21667.47</v>
      </c>
      <c r="D714" s="33">
        <v>-31.196</v>
      </c>
    </row>
    <row r="715">
      <c r="A715" s="32">
        <v>6509.0</v>
      </c>
      <c r="B715" s="33">
        <v>10068.861</v>
      </c>
      <c r="C715" s="33">
        <v>21707.848</v>
      </c>
      <c r="D715" s="33">
        <v>-38.093</v>
      </c>
    </row>
    <row r="716">
      <c r="A716" s="32">
        <v>6510.0</v>
      </c>
      <c r="B716" s="33">
        <v>12149.182</v>
      </c>
      <c r="C716" s="33">
        <v>21753.012</v>
      </c>
      <c r="D716" s="33">
        <v>-42.975</v>
      </c>
    </row>
    <row r="717">
      <c r="A717" s="32">
        <v>6511.0</v>
      </c>
      <c r="B717" s="33">
        <v>14213.087</v>
      </c>
      <c r="C717" s="33">
        <v>21826.252</v>
      </c>
      <c r="D717" s="33">
        <v>-45.355</v>
      </c>
    </row>
    <row r="718">
      <c r="A718" s="32">
        <v>6605.0</v>
      </c>
      <c r="B718" s="33">
        <v>1705.661</v>
      </c>
      <c r="C718" s="33">
        <v>23615.779</v>
      </c>
      <c r="D718" s="33">
        <v>-6.061</v>
      </c>
    </row>
    <row r="719">
      <c r="A719" s="32">
        <v>6606.0</v>
      </c>
      <c r="B719" s="33">
        <v>3786.981</v>
      </c>
      <c r="C719" s="33">
        <v>23657.299</v>
      </c>
      <c r="D719" s="33">
        <v>-28.85</v>
      </c>
    </row>
    <row r="720">
      <c r="A720" s="32">
        <v>6607.0</v>
      </c>
      <c r="B720" s="33">
        <v>5862.519</v>
      </c>
      <c r="C720" s="33">
        <v>23701.556</v>
      </c>
      <c r="D720" s="33">
        <v>-32.183</v>
      </c>
    </row>
    <row r="721">
      <c r="A721" s="32">
        <v>6608.0</v>
      </c>
      <c r="B721" s="33">
        <v>7944.998</v>
      </c>
      <c r="C721" s="33">
        <v>23745.816</v>
      </c>
      <c r="D721" s="33">
        <v>-36.758</v>
      </c>
    </row>
    <row r="722">
      <c r="A722" s="32">
        <v>6609.0</v>
      </c>
      <c r="B722" s="33">
        <v>10029.614</v>
      </c>
      <c r="C722" s="33">
        <v>23780.748</v>
      </c>
      <c r="D722" s="33">
        <v>-43.062</v>
      </c>
    </row>
    <row r="723">
      <c r="A723" s="32">
        <v>6610.0</v>
      </c>
      <c r="B723" s="33">
        <v>12105.227</v>
      </c>
      <c r="C723" s="33">
        <v>23838.547</v>
      </c>
      <c r="D723" s="33">
        <v>-49.894</v>
      </c>
    </row>
    <row r="724">
      <c r="A724" s="32">
        <v>6611.0</v>
      </c>
      <c r="B724" s="33">
        <v>14233.742</v>
      </c>
      <c r="C724" s="33">
        <v>23883.351</v>
      </c>
      <c r="D724" s="33">
        <v>-53.62</v>
      </c>
    </row>
    <row r="725">
      <c r="A725" s="32">
        <v>6612.0</v>
      </c>
      <c r="B725" s="33">
        <v>16260.485</v>
      </c>
      <c r="C725" s="33">
        <v>24086.657</v>
      </c>
      <c r="D725" s="33">
        <v>-58.834</v>
      </c>
    </row>
    <row r="726">
      <c r="A726" s="32">
        <v>6704.0</v>
      </c>
      <c r="B726" s="33">
        <v>-404.753</v>
      </c>
      <c r="C726" s="33">
        <v>25552.34</v>
      </c>
      <c r="D726" s="33">
        <v>-3.219</v>
      </c>
    </row>
    <row r="727">
      <c r="A727" s="32">
        <v>6705.0</v>
      </c>
      <c r="B727" s="33">
        <v>1661.255</v>
      </c>
      <c r="C727" s="33">
        <v>25697.122</v>
      </c>
      <c r="D727" s="33">
        <v>-24.375</v>
      </c>
    </row>
    <row r="728">
      <c r="A728" s="32">
        <v>6706.0</v>
      </c>
      <c r="B728" s="33">
        <v>3743.742</v>
      </c>
      <c r="C728" s="33">
        <v>25734.45</v>
      </c>
      <c r="D728" s="33">
        <v>-35.727</v>
      </c>
    </row>
    <row r="729">
      <c r="A729" s="32">
        <v>6707.0</v>
      </c>
      <c r="B729" s="33">
        <v>5820.099</v>
      </c>
      <c r="C729" s="33">
        <v>25779.921</v>
      </c>
      <c r="D729" s="33">
        <v>-38.056</v>
      </c>
    </row>
    <row r="730">
      <c r="A730" s="32">
        <v>6708.0</v>
      </c>
      <c r="B730" s="33">
        <v>7903.822</v>
      </c>
      <c r="C730" s="33">
        <v>25827.722</v>
      </c>
      <c r="D730" s="33">
        <v>-43.218</v>
      </c>
    </row>
    <row r="731">
      <c r="A731" s="32">
        <v>6709.0</v>
      </c>
      <c r="B731" s="33">
        <v>9990.878</v>
      </c>
      <c r="C731" s="33">
        <v>25870.977</v>
      </c>
      <c r="D731" s="33">
        <v>-49.317</v>
      </c>
    </row>
    <row r="732">
      <c r="A732" s="32">
        <v>6710.0</v>
      </c>
      <c r="B732" s="33">
        <v>12062.512</v>
      </c>
      <c r="C732" s="33">
        <v>25913.871</v>
      </c>
      <c r="D732" s="33">
        <v>-57.747</v>
      </c>
    </row>
    <row r="733">
      <c r="A733" s="32">
        <v>6711.0</v>
      </c>
      <c r="B733" s="33">
        <v>14143.583</v>
      </c>
      <c r="C733" s="33">
        <v>25960.127</v>
      </c>
      <c r="D733" s="33">
        <v>-62.984</v>
      </c>
    </row>
    <row r="734">
      <c r="A734" s="32">
        <v>6712.0</v>
      </c>
      <c r="B734" s="33">
        <v>16224.322</v>
      </c>
      <c r="C734" s="33">
        <v>25991.288</v>
      </c>
      <c r="D734" s="33">
        <v>-67.167</v>
      </c>
    </row>
    <row r="735">
      <c r="A735" s="32">
        <v>6713.0</v>
      </c>
      <c r="B735" s="33">
        <v>18100.4</v>
      </c>
      <c r="C735" s="33">
        <v>26052.74</v>
      </c>
      <c r="D735" s="33">
        <v>-69.579</v>
      </c>
    </row>
    <row r="736">
      <c r="A736" s="32">
        <v>6803.0</v>
      </c>
      <c r="B736" s="33">
        <v>-2530.658</v>
      </c>
      <c r="C736" s="33">
        <v>27694.514</v>
      </c>
      <c r="D736" s="33">
        <v>29.269</v>
      </c>
    </row>
    <row r="737">
      <c r="A737" s="32">
        <v>6804.0</v>
      </c>
      <c r="B737" s="33">
        <v>-461.813</v>
      </c>
      <c r="C737" s="33">
        <v>27721.23</v>
      </c>
      <c r="D737" s="33">
        <v>-17.173</v>
      </c>
    </row>
    <row r="738">
      <c r="A738" s="32">
        <v>6805.0</v>
      </c>
      <c r="B738" s="33">
        <v>1620.658</v>
      </c>
      <c r="C738" s="33">
        <v>27775.275</v>
      </c>
      <c r="D738" s="33">
        <v>-36.028</v>
      </c>
    </row>
    <row r="739">
      <c r="A739" s="32">
        <v>6806.0</v>
      </c>
      <c r="B739" s="33">
        <v>3699.147</v>
      </c>
      <c r="C739" s="33">
        <v>27821.066</v>
      </c>
      <c r="D739" s="33">
        <v>-38.543</v>
      </c>
    </row>
    <row r="740">
      <c r="A740" s="32">
        <v>6807.0</v>
      </c>
      <c r="B740" s="33">
        <v>5777.525</v>
      </c>
      <c r="C740" s="33">
        <v>27863.956</v>
      </c>
      <c r="D740" s="33">
        <v>-44.652</v>
      </c>
    </row>
    <row r="741">
      <c r="A741" s="32">
        <v>6808.0</v>
      </c>
      <c r="B741" s="33">
        <v>7857.344</v>
      </c>
      <c r="C741" s="33">
        <v>27908.095</v>
      </c>
      <c r="D741" s="33">
        <v>-45.655</v>
      </c>
    </row>
    <row r="742">
      <c r="A742" s="32">
        <v>6809.0</v>
      </c>
      <c r="B742" s="33">
        <v>9935.755</v>
      </c>
      <c r="C742" s="33">
        <v>27951.203</v>
      </c>
      <c r="D742" s="33">
        <v>-54.269</v>
      </c>
    </row>
    <row r="743">
      <c r="A743" s="32">
        <v>6810.0</v>
      </c>
      <c r="B743" s="33">
        <v>12017.428</v>
      </c>
      <c r="C743" s="33">
        <v>27980.099</v>
      </c>
      <c r="D743" s="33">
        <v>-64.263</v>
      </c>
    </row>
    <row r="744">
      <c r="A744" s="32">
        <v>6811.0</v>
      </c>
      <c r="B744" s="33">
        <v>14095.5</v>
      </c>
      <c r="C744" s="33">
        <v>28046.994</v>
      </c>
      <c r="D744" s="33">
        <v>-69.505</v>
      </c>
    </row>
    <row r="745">
      <c r="A745" s="32">
        <v>6812.0</v>
      </c>
      <c r="B745" s="33">
        <v>16180.975</v>
      </c>
      <c r="C745" s="33">
        <v>28091.025</v>
      </c>
      <c r="D745" s="33">
        <v>-75.881</v>
      </c>
    </row>
    <row r="746">
      <c r="A746" s="32">
        <v>6813.0</v>
      </c>
      <c r="B746" s="33">
        <v>18234.922</v>
      </c>
      <c r="C746" s="33">
        <v>28123.466</v>
      </c>
      <c r="D746" s="33">
        <v>-76.238</v>
      </c>
    </row>
    <row r="747">
      <c r="A747" s="32">
        <v>6814.0</v>
      </c>
      <c r="B747" s="33">
        <v>20334.568</v>
      </c>
      <c r="C747" s="33">
        <v>28159.993</v>
      </c>
      <c r="D747" s="33">
        <v>-81.688</v>
      </c>
    </row>
    <row r="748">
      <c r="A748" s="32">
        <v>6903.0</v>
      </c>
      <c r="B748" s="33">
        <v>-2038.687</v>
      </c>
      <c r="C748" s="33">
        <v>30008.659</v>
      </c>
      <c r="D748" s="33">
        <v>-5.089</v>
      </c>
    </row>
    <row r="749">
      <c r="A749" s="32">
        <v>6904.0</v>
      </c>
      <c r="B749" s="33">
        <v>-509.908</v>
      </c>
      <c r="C749" s="33">
        <v>29811.565</v>
      </c>
      <c r="D749" s="33">
        <v>-17.187</v>
      </c>
    </row>
    <row r="750">
      <c r="A750" s="32">
        <v>6905.0</v>
      </c>
      <c r="B750" s="33">
        <v>1576.219</v>
      </c>
      <c r="C750" s="33">
        <v>29852.492</v>
      </c>
      <c r="D750" s="33">
        <v>-35.203</v>
      </c>
    </row>
    <row r="751">
      <c r="A751" s="32">
        <v>6906.0</v>
      </c>
      <c r="B751" s="33">
        <v>3650.459</v>
      </c>
      <c r="C751" s="33">
        <v>29897.163</v>
      </c>
      <c r="D751" s="33">
        <v>-36.552</v>
      </c>
    </row>
    <row r="752">
      <c r="A752" s="32">
        <v>6907.0</v>
      </c>
      <c r="B752" s="33">
        <v>5734.555</v>
      </c>
      <c r="C752" s="33">
        <v>29942.376</v>
      </c>
      <c r="D752" s="33">
        <v>-42.705</v>
      </c>
    </row>
    <row r="753">
      <c r="A753" s="32">
        <v>6908.0</v>
      </c>
      <c r="B753" s="33">
        <v>7818.098</v>
      </c>
      <c r="C753" s="33">
        <v>30038.834</v>
      </c>
      <c r="D753" s="33">
        <v>-15.87</v>
      </c>
    </row>
    <row r="754">
      <c r="A754" s="32">
        <v>6909.0</v>
      </c>
      <c r="B754" s="33">
        <v>9894.328</v>
      </c>
      <c r="C754" s="33">
        <v>30031.388</v>
      </c>
      <c r="D754" s="33">
        <v>-3.393</v>
      </c>
    </row>
    <row r="755">
      <c r="A755" s="32">
        <v>6910.0</v>
      </c>
      <c r="B755" s="33">
        <v>11974.221</v>
      </c>
      <c r="C755" s="33">
        <v>30075.68</v>
      </c>
      <c r="D755" s="33">
        <v>-65.553</v>
      </c>
    </row>
    <row r="756">
      <c r="A756" s="32">
        <v>6911.0</v>
      </c>
      <c r="B756" s="33">
        <v>14058.976</v>
      </c>
      <c r="C756" s="33">
        <v>30119.105</v>
      </c>
      <c r="D756" s="33">
        <v>-79.226</v>
      </c>
    </row>
    <row r="757">
      <c r="A757" s="32">
        <v>6912.0</v>
      </c>
      <c r="B757" s="33">
        <v>16136.508</v>
      </c>
      <c r="C757" s="33">
        <v>30162.341</v>
      </c>
      <c r="D757" s="33">
        <v>-84.051</v>
      </c>
    </row>
    <row r="758">
      <c r="A758" s="32">
        <v>6913.0</v>
      </c>
      <c r="B758" s="33">
        <v>18216.377</v>
      </c>
      <c r="C758" s="33">
        <v>29936.745</v>
      </c>
      <c r="D758" s="33">
        <v>-85.228</v>
      </c>
    </row>
    <row r="759">
      <c r="A759" s="32">
        <v>6914.0</v>
      </c>
      <c r="B759" s="33">
        <v>20393.862</v>
      </c>
      <c r="C759" s="33">
        <v>30252.31</v>
      </c>
      <c r="D759" s="33">
        <v>-94.001</v>
      </c>
    </row>
    <row r="760">
      <c r="A760" s="32">
        <v>7003.0</v>
      </c>
      <c r="B760" s="33">
        <v>-2637.657</v>
      </c>
      <c r="C760" s="33">
        <v>31842.95</v>
      </c>
      <c r="D760" s="33">
        <v>9.037</v>
      </c>
    </row>
    <row r="761">
      <c r="A761" s="32">
        <v>7004.0</v>
      </c>
      <c r="B761" s="33">
        <v>-548.269</v>
      </c>
      <c r="C761" s="33">
        <v>31882.936</v>
      </c>
      <c r="D761" s="33">
        <v>-14.513</v>
      </c>
    </row>
    <row r="762">
      <c r="A762" s="32">
        <v>7005.0</v>
      </c>
      <c r="B762" s="33">
        <v>1527.508</v>
      </c>
      <c r="C762" s="33">
        <v>31932.878</v>
      </c>
      <c r="D762" s="33">
        <v>-24.972</v>
      </c>
    </row>
    <row r="763">
      <c r="A763" s="32">
        <v>7006.0</v>
      </c>
      <c r="B763" s="33">
        <v>3606.862</v>
      </c>
      <c r="C763" s="33">
        <v>31977.934</v>
      </c>
      <c r="D763" s="33">
        <v>-36.195</v>
      </c>
    </row>
    <row r="764">
      <c r="A764" s="32">
        <v>7007.0</v>
      </c>
      <c r="B764" s="33">
        <v>5652.781</v>
      </c>
      <c r="C764" s="33">
        <v>32036.137</v>
      </c>
      <c r="D764" s="33">
        <v>-12.65</v>
      </c>
    </row>
    <row r="765">
      <c r="A765" s="32">
        <v>7008.0</v>
      </c>
      <c r="B765" s="33">
        <v>7769.595</v>
      </c>
      <c r="C765" s="33">
        <v>32066.483</v>
      </c>
      <c r="D765" s="33">
        <v>2.624</v>
      </c>
    </row>
    <row r="766">
      <c r="A766" s="32">
        <v>7009.0</v>
      </c>
      <c r="B766" s="33">
        <v>9884.74</v>
      </c>
      <c r="C766" s="33">
        <v>32072.716</v>
      </c>
      <c r="D766" s="33">
        <v>32.71</v>
      </c>
    </row>
    <row r="767">
      <c r="A767" s="32">
        <v>7010.0</v>
      </c>
      <c r="B767" s="33">
        <v>11933.134</v>
      </c>
      <c r="C767" s="33">
        <v>32154.209</v>
      </c>
      <c r="D767" s="33">
        <v>-16.27</v>
      </c>
    </row>
    <row r="768">
      <c r="A768" s="32">
        <v>7011.0</v>
      </c>
      <c r="B768" s="33">
        <v>14170.745</v>
      </c>
      <c r="C768" s="33">
        <v>32199.866</v>
      </c>
      <c r="D768" s="33">
        <v>-58.233</v>
      </c>
    </row>
    <row r="769">
      <c r="A769" s="32">
        <v>7012.0</v>
      </c>
      <c r="B769" s="33">
        <v>16092.051</v>
      </c>
      <c r="C769" s="33">
        <v>32238.55</v>
      </c>
      <c r="D769" s="33">
        <v>-92.25</v>
      </c>
    </row>
    <row r="770">
      <c r="A770" s="32">
        <v>7013.0</v>
      </c>
      <c r="B770" s="33">
        <v>17723.724</v>
      </c>
      <c r="C770" s="33">
        <v>32179.139</v>
      </c>
      <c r="D770" s="33">
        <v>-95.188</v>
      </c>
    </row>
    <row r="771">
      <c r="A771" s="32">
        <v>7014.0</v>
      </c>
      <c r="B771" s="33">
        <v>20251.598</v>
      </c>
      <c r="C771" s="33">
        <v>32331.14</v>
      </c>
      <c r="D771" s="33">
        <v>-100.093</v>
      </c>
    </row>
    <row r="772">
      <c r="A772" s="32">
        <v>7103.0</v>
      </c>
      <c r="B772" s="33">
        <v>-2672.431</v>
      </c>
      <c r="C772" s="33">
        <v>33925.785</v>
      </c>
      <c r="D772" s="33">
        <v>10.448</v>
      </c>
    </row>
    <row r="773">
      <c r="A773" s="32">
        <v>7104.0</v>
      </c>
      <c r="B773" s="33">
        <v>-589.957</v>
      </c>
      <c r="C773" s="33">
        <v>33972.183</v>
      </c>
      <c r="D773" s="33">
        <v>-15.349</v>
      </c>
    </row>
    <row r="774">
      <c r="A774" s="32">
        <v>7105.0</v>
      </c>
      <c r="B774" s="33">
        <v>1485.778</v>
      </c>
      <c r="C774" s="33">
        <v>34013.214</v>
      </c>
      <c r="D774" s="33">
        <v>-28.214</v>
      </c>
    </row>
    <row r="775">
      <c r="A775" s="32">
        <v>7106.0</v>
      </c>
      <c r="B775" s="33">
        <v>3566.386</v>
      </c>
      <c r="C775" s="33">
        <v>34046.726</v>
      </c>
      <c r="D775" s="33">
        <v>-35.766</v>
      </c>
    </row>
    <row r="776">
      <c r="A776" s="32">
        <v>7107.0</v>
      </c>
      <c r="B776" s="33">
        <v>5571.069</v>
      </c>
      <c r="C776" s="33">
        <v>34056.874</v>
      </c>
      <c r="D776" s="33">
        <v>-21.263</v>
      </c>
    </row>
    <row r="777">
      <c r="A777" s="32">
        <v>7108.0</v>
      </c>
      <c r="B777" s="33">
        <v>7713.604</v>
      </c>
      <c r="C777" s="33">
        <v>34139.822</v>
      </c>
      <c r="D777" s="33">
        <v>26.775</v>
      </c>
    </row>
    <row r="778">
      <c r="A778" s="32">
        <v>7109.0</v>
      </c>
      <c r="B778" s="33">
        <v>9747.06</v>
      </c>
      <c r="C778" s="33">
        <v>34202.033</v>
      </c>
      <c r="D778" s="33">
        <v>77.923</v>
      </c>
    </row>
    <row r="779">
      <c r="A779" s="32">
        <v>7110.0</v>
      </c>
      <c r="B779" s="33">
        <v>11888.372</v>
      </c>
      <c r="C779" s="33">
        <v>34238.023</v>
      </c>
      <c r="D779" s="33">
        <v>37.733</v>
      </c>
    </row>
    <row r="780">
      <c r="A780" s="32">
        <v>7111.0</v>
      </c>
      <c r="B780" s="33">
        <v>13970.626</v>
      </c>
      <c r="C780" s="33">
        <v>34283.77</v>
      </c>
      <c r="D780" s="33">
        <v>-33.809</v>
      </c>
    </row>
    <row r="781">
      <c r="A781" s="32">
        <v>7112.0</v>
      </c>
      <c r="B781" s="33">
        <v>16450.68</v>
      </c>
      <c r="C781" s="33">
        <v>33903.165</v>
      </c>
      <c r="D781" s="33">
        <v>-100.486</v>
      </c>
    </row>
    <row r="782">
      <c r="A782" s="32">
        <v>7113.0</v>
      </c>
      <c r="B782" s="33">
        <v>18118.341</v>
      </c>
      <c r="C782" s="33">
        <v>34541.758</v>
      </c>
      <c r="D782" s="33">
        <v>-106.203</v>
      </c>
    </row>
    <row r="783">
      <c r="A783" s="32">
        <v>7114.0</v>
      </c>
      <c r="B783" s="33">
        <v>20204.484</v>
      </c>
      <c r="C783" s="33">
        <v>34409.756</v>
      </c>
      <c r="D783" s="33">
        <v>-111.655</v>
      </c>
    </row>
    <row r="784">
      <c r="A784" s="32">
        <v>7203.0</v>
      </c>
      <c r="B784" s="33">
        <v>-2715.167</v>
      </c>
      <c r="C784" s="33">
        <v>36006.332</v>
      </c>
      <c r="D784" s="33">
        <v>-3.194</v>
      </c>
    </row>
    <row r="785">
      <c r="A785" s="32">
        <v>7204.0</v>
      </c>
      <c r="B785" s="33">
        <v>-639.697</v>
      </c>
      <c r="C785" s="33">
        <v>36054.424</v>
      </c>
      <c r="D785" s="33">
        <v>-20.522</v>
      </c>
    </row>
    <row r="786">
      <c r="A786" s="32">
        <v>7205.0</v>
      </c>
      <c r="B786" s="33">
        <v>1423.016</v>
      </c>
      <c r="C786" s="33">
        <v>36164.861</v>
      </c>
      <c r="D786" s="33">
        <v>-30.475</v>
      </c>
    </row>
    <row r="787">
      <c r="A787" s="32">
        <v>7206.0</v>
      </c>
      <c r="B787" s="33">
        <v>3520.336</v>
      </c>
      <c r="C787" s="33">
        <v>36139.724</v>
      </c>
      <c r="D787" s="33">
        <v>-38.194</v>
      </c>
    </row>
    <row r="788">
      <c r="A788" s="32">
        <v>7207.0</v>
      </c>
      <c r="B788" s="33">
        <v>5619.033</v>
      </c>
      <c r="C788" s="33">
        <v>36283.261</v>
      </c>
      <c r="D788" s="33">
        <v>-12.922</v>
      </c>
    </row>
    <row r="789">
      <c r="A789" s="32">
        <v>7208.0</v>
      </c>
      <c r="B789" s="33">
        <v>7657.289</v>
      </c>
      <c r="C789" s="33">
        <v>36277.905</v>
      </c>
      <c r="D789" s="33">
        <v>25.771</v>
      </c>
    </row>
    <row r="790">
      <c r="A790" s="32">
        <v>7209.0</v>
      </c>
      <c r="B790" s="33">
        <v>9809.769</v>
      </c>
      <c r="C790" s="33">
        <v>36257.17</v>
      </c>
      <c r="D790" s="33">
        <v>32.677</v>
      </c>
    </row>
    <row r="791">
      <c r="A791" s="32">
        <v>7210.0</v>
      </c>
      <c r="B791" s="33">
        <v>11818.707</v>
      </c>
      <c r="C791" s="33">
        <v>36354.841</v>
      </c>
      <c r="D791" s="33">
        <v>15.609</v>
      </c>
    </row>
    <row r="792">
      <c r="A792" s="32">
        <v>7211.0</v>
      </c>
      <c r="B792" s="33">
        <v>13923.684</v>
      </c>
      <c r="C792" s="33">
        <v>36362.494</v>
      </c>
      <c r="D792" s="33">
        <v>-37.197</v>
      </c>
    </row>
    <row r="793">
      <c r="A793" s="32">
        <v>7212.0</v>
      </c>
      <c r="B793" s="33">
        <v>15968.63</v>
      </c>
      <c r="C793" s="33">
        <v>38570.054</v>
      </c>
      <c r="D793" s="33">
        <v>-122.402</v>
      </c>
    </row>
    <row r="794">
      <c r="A794" s="32">
        <v>7213.0</v>
      </c>
      <c r="B794" s="33">
        <v>18078.172</v>
      </c>
      <c r="C794" s="33">
        <v>36434.4</v>
      </c>
      <c r="D794" s="33">
        <v>-116.826</v>
      </c>
    </row>
    <row r="795">
      <c r="A795" s="32">
        <v>7214.0</v>
      </c>
      <c r="B795" s="33">
        <v>20162.806</v>
      </c>
      <c r="C795" s="33">
        <v>36488.288</v>
      </c>
      <c r="D795" s="33">
        <v>-122.294</v>
      </c>
    </row>
    <row r="796">
      <c r="A796" s="32">
        <v>7304.0</v>
      </c>
      <c r="B796" s="33">
        <v>-663.139</v>
      </c>
      <c r="C796" s="33">
        <v>38114.493</v>
      </c>
      <c r="D796" s="33">
        <v>-20.661</v>
      </c>
    </row>
    <row r="797">
      <c r="A797" s="32">
        <v>7305.0</v>
      </c>
      <c r="B797" s="33">
        <v>1356.965</v>
      </c>
      <c r="C797" s="33">
        <v>38173.599</v>
      </c>
      <c r="D797" s="33">
        <v>-31.836</v>
      </c>
    </row>
    <row r="798">
      <c r="A798" s="32">
        <v>7306.0</v>
      </c>
      <c r="B798" s="33">
        <v>3485.746</v>
      </c>
      <c r="C798" s="33">
        <v>38205.131</v>
      </c>
      <c r="D798" s="33">
        <v>-33.332</v>
      </c>
    </row>
    <row r="799">
      <c r="A799" s="32">
        <v>7307.0</v>
      </c>
      <c r="B799" s="33">
        <v>5565.202</v>
      </c>
      <c r="C799" s="33">
        <v>38268.514</v>
      </c>
      <c r="D799" s="33">
        <v>-38.106</v>
      </c>
    </row>
    <row r="800">
      <c r="A800" s="32">
        <v>7308.0</v>
      </c>
      <c r="B800" s="33">
        <v>7672.83</v>
      </c>
      <c r="C800" s="33">
        <v>38386.981</v>
      </c>
      <c r="D800" s="33">
        <v>-29.833</v>
      </c>
    </row>
    <row r="801">
      <c r="A801" s="32">
        <v>7309.0</v>
      </c>
      <c r="B801" s="33">
        <v>9713.356</v>
      </c>
      <c r="C801" s="33">
        <v>38351.737</v>
      </c>
      <c r="D801" s="33">
        <v>-31.167</v>
      </c>
    </row>
    <row r="802">
      <c r="A802" s="32">
        <v>7310.0</v>
      </c>
      <c r="B802" s="33">
        <v>11799.045</v>
      </c>
      <c r="C802" s="33">
        <v>38394.334</v>
      </c>
      <c r="D802" s="33">
        <v>-24.496</v>
      </c>
    </row>
    <row r="803">
      <c r="A803" s="32">
        <v>7311.0</v>
      </c>
      <c r="B803" s="33">
        <v>13942.246</v>
      </c>
      <c r="C803" s="33">
        <v>38342.64</v>
      </c>
      <c r="D803" s="33">
        <v>-55.713</v>
      </c>
    </row>
    <row r="804">
      <c r="A804" s="32">
        <v>7313.0</v>
      </c>
      <c r="B804" s="33">
        <v>18034.117</v>
      </c>
      <c r="C804" s="33">
        <v>38565.801</v>
      </c>
      <c r="D804" s="33">
        <v>-127.964</v>
      </c>
    </row>
    <row r="805">
      <c r="A805" s="32">
        <v>7404.0</v>
      </c>
      <c r="B805" s="33">
        <v>-728.37</v>
      </c>
      <c r="C805" s="33">
        <v>40206.346</v>
      </c>
      <c r="D805" s="33">
        <v>-2.703</v>
      </c>
    </row>
    <row r="806">
      <c r="A806" s="32">
        <v>7405.0</v>
      </c>
      <c r="B806" s="33">
        <v>1344.156</v>
      </c>
      <c r="C806" s="33">
        <v>40253.669</v>
      </c>
      <c r="D806" s="33">
        <v>-31.302</v>
      </c>
    </row>
    <row r="807">
      <c r="A807" s="32">
        <v>7406.0</v>
      </c>
      <c r="B807" s="33">
        <v>3424.802</v>
      </c>
      <c r="C807" s="33">
        <v>40300.674</v>
      </c>
      <c r="D807" s="33">
        <v>-40.837</v>
      </c>
    </row>
    <row r="808">
      <c r="A808" s="32">
        <v>7407.0</v>
      </c>
      <c r="B808" s="33">
        <v>5509.713</v>
      </c>
      <c r="C808" s="33">
        <v>40344.468</v>
      </c>
      <c r="D808" s="33">
        <v>-50.272</v>
      </c>
    </row>
    <row r="809">
      <c r="A809" s="32">
        <v>7408.0</v>
      </c>
      <c r="B809" s="33">
        <v>7591.246</v>
      </c>
      <c r="C809" s="33">
        <v>40388.028</v>
      </c>
      <c r="D809" s="33">
        <v>-62.503</v>
      </c>
    </row>
    <row r="810">
      <c r="A810" s="32">
        <v>7409.0</v>
      </c>
      <c r="B810" s="33">
        <v>9674.479</v>
      </c>
      <c r="C810" s="33">
        <v>40435.112</v>
      </c>
      <c r="D810" s="33">
        <v>-63.458</v>
      </c>
    </row>
    <row r="811">
      <c r="A811" s="32">
        <v>7411.0</v>
      </c>
      <c r="B811" s="33">
        <v>13859.031</v>
      </c>
      <c r="C811" s="33">
        <v>40493.257</v>
      </c>
      <c r="D811" s="33">
        <v>-115.296</v>
      </c>
    </row>
    <row r="812">
      <c r="A812" s="32">
        <v>7412.0</v>
      </c>
      <c r="B812" s="33">
        <v>15917.55</v>
      </c>
      <c r="C812" s="33">
        <v>40565.531</v>
      </c>
      <c r="D812" s="33">
        <v>-133.195</v>
      </c>
    </row>
    <row r="813">
      <c r="A813" s="32">
        <v>7413.0</v>
      </c>
      <c r="B813" s="33">
        <v>17993.983</v>
      </c>
      <c r="C813" s="33">
        <v>40607.715</v>
      </c>
      <c r="D813" s="33">
        <v>-138.415</v>
      </c>
    </row>
    <row r="814">
      <c r="A814" s="32">
        <v>7504.0</v>
      </c>
      <c r="B814" s="33">
        <v>-768.594</v>
      </c>
      <c r="C814" s="33">
        <v>42291.159</v>
      </c>
      <c r="D814" s="33">
        <v>4.947</v>
      </c>
    </row>
    <row r="815">
      <c r="A815" s="32">
        <v>7505.0</v>
      </c>
      <c r="B815" s="33">
        <v>1310.244</v>
      </c>
      <c r="C815" s="33">
        <v>42332.794</v>
      </c>
      <c r="D815" s="33">
        <v>-24.468</v>
      </c>
    </row>
    <row r="816">
      <c r="A816" s="32">
        <v>7506.0</v>
      </c>
      <c r="B816" s="33">
        <v>3385.101</v>
      </c>
      <c r="C816" s="33">
        <v>42381.0</v>
      </c>
      <c r="D816" s="33">
        <v>-35.002</v>
      </c>
    </row>
    <row r="817">
      <c r="A817" s="32">
        <v>7507.0</v>
      </c>
      <c r="B817" s="33">
        <v>5468.681</v>
      </c>
      <c r="C817" s="33">
        <v>42424.876</v>
      </c>
      <c r="D817" s="33">
        <v>-46.849</v>
      </c>
    </row>
    <row r="818">
      <c r="A818" s="32">
        <v>7508.0</v>
      </c>
      <c r="B818" s="33">
        <v>7557.468</v>
      </c>
      <c r="C818" s="33">
        <v>42450.69</v>
      </c>
      <c r="D818" s="33">
        <v>-71.201</v>
      </c>
    </row>
    <row r="819">
      <c r="A819" s="32">
        <v>7509.0</v>
      </c>
      <c r="B819" s="33">
        <v>9548.706</v>
      </c>
      <c r="C819" s="33">
        <v>42453.7</v>
      </c>
      <c r="D819" s="33">
        <v>-84.707</v>
      </c>
    </row>
    <row r="820">
      <c r="A820" s="32">
        <v>7510.0</v>
      </c>
      <c r="B820" s="33">
        <v>11707.006</v>
      </c>
      <c r="C820" s="33">
        <v>42557.446</v>
      </c>
      <c r="D820" s="33">
        <v>-112.202</v>
      </c>
    </row>
    <row r="821">
      <c r="A821" s="32">
        <v>7511.0</v>
      </c>
      <c r="B821" s="33">
        <v>13790.085</v>
      </c>
      <c r="C821" s="33">
        <v>42613.08</v>
      </c>
      <c r="D821" s="33">
        <v>-130.372</v>
      </c>
    </row>
    <row r="822">
      <c r="A822" s="32">
        <v>7512.0</v>
      </c>
      <c r="B822" s="33">
        <v>15866.838</v>
      </c>
      <c r="C822" s="33">
        <v>42644.642</v>
      </c>
      <c r="D822" s="33">
        <v>-143.854</v>
      </c>
    </row>
    <row r="823">
      <c r="A823" s="32">
        <v>7605.0</v>
      </c>
      <c r="B823" s="33">
        <v>1264.513</v>
      </c>
      <c r="C823" s="33">
        <v>44415.234</v>
      </c>
      <c r="D823" s="33">
        <v>-6.745</v>
      </c>
    </row>
    <row r="824">
      <c r="A824" s="32">
        <v>7606.0</v>
      </c>
      <c r="B824" s="33">
        <v>3344.892</v>
      </c>
      <c r="C824" s="33">
        <v>44503.397</v>
      </c>
      <c r="D824" s="33">
        <v>-18.871</v>
      </c>
    </row>
    <row r="825">
      <c r="A825" s="32">
        <v>7607.0</v>
      </c>
      <c r="B825" s="33">
        <v>5424.415</v>
      </c>
      <c r="C825" s="33">
        <v>44505.347</v>
      </c>
      <c r="D825" s="33">
        <v>-36.613</v>
      </c>
    </row>
    <row r="826">
      <c r="A826" s="32">
        <v>7608.0</v>
      </c>
      <c r="B826" s="33">
        <v>7504.92</v>
      </c>
      <c r="C826" s="33">
        <v>44548.302</v>
      </c>
      <c r="D826" s="33">
        <v>-51.799</v>
      </c>
    </row>
    <row r="827">
      <c r="A827" s="32">
        <v>7609.0</v>
      </c>
      <c r="B827" s="33">
        <v>9585.431</v>
      </c>
      <c r="C827" s="33">
        <v>44592.487</v>
      </c>
      <c r="D827" s="33">
        <v>-98.473</v>
      </c>
    </row>
    <row r="828">
      <c r="A828" s="32">
        <v>7610.0</v>
      </c>
      <c r="B828" s="33">
        <v>11667.116</v>
      </c>
      <c r="C828" s="33">
        <v>44635.542</v>
      </c>
      <c r="D828" s="33">
        <v>-133.228</v>
      </c>
    </row>
    <row r="829">
      <c r="A829" s="32">
        <v>7611.0</v>
      </c>
      <c r="B829" s="33">
        <v>13738.152</v>
      </c>
      <c r="C829" s="33">
        <v>44681.699</v>
      </c>
      <c r="D829" s="33">
        <v>-151.761</v>
      </c>
    </row>
    <row r="830">
      <c r="A830" s="32">
        <v>7706.0</v>
      </c>
      <c r="B830" s="33">
        <v>3653.121</v>
      </c>
      <c r="C830" s="33">
        <v>46188.729</v>
      </c>
      <c r="D830" s="33">
        <v>-4.451</v>
      </c>
    </row>
    <row r="831">
      <c r="A831" s="32">
        <v>7707.0</v>
      </c>
      <c r="B831" s="33">
        <v>5374.337</v>
      </c>
      <c r="C831" s="33">
        <v>46602.574</v>
      </c>
      <c r="D831" s="33">
        <v>-15.655</v>
      </c>
    </row>
    <row r="832">
      <c r="A832" s="32">
        <v>7708.0</v>
      </c>
      <c r="B832" s="33">
        <v>7455.575</v>
      </c>
      <c r="C832" s="33">
        <v>46628.76</v>
      </c>
      <c r="D832" s="33">
        <v>-43.667</v>
      </c>
    </row>
    <row r="833">
      <c r="A833" s="32">
        <v>7709.0</v>
      </c>
      <c r="B833" s="33">
        <v>9539.823</v>
      </c>
      <c r="C833" s="33">
        <v>46667.353</v>
      </c>
      <c r="D833" s="33">
        <v>-92.654</v>
      </c>
    </row>
    <row r="834">
      <c r="A834" s="32">
        <v>7710.0</v>
      </c>
      <c r="B834" s="33">
        <v>11635.594</v>
      </c>
      <c r="C834" s="33">
        <v>46715.891</v>
      </c>
      <c r="D834" s="33">
        <v>-137.015</v>
      </c>
    </row>
    <row r="835">
      <c r="A835" s="32">
        <v>7808.0</v>
      </c>
      <c r="B835" s="33">
        <v>7631.385</v>
      </c>
      <c r="C835" s="33">
        <v>48157.327</v>
      </c>
      <c r="D835" s="33">
        <v>-13.81</v>
      </c>
    </row>
    <row r="836">
      <c r="A836" s="32">
        <v>7809.0</v>
      </c>
      <c r="B836" s="33">
        <v>9488.887</v>
      </c>
      <c r="C836" s="33">
        <v>48749.76</v>
      </c>
      <c r="D836" s="33">
        <v>-46.701</v>
      </c>
    </row>
    <row r="837">
      <c r="B837" s="31"/>
      <c r="C837" s="31"/>
      <c r="D837" s="31"/>
    </row>
    <row r="838">
      <c r="B838" s="31"/>
      <c r="C838" s="31"/>
      <c r="D838" s="31"/>
    </row>
    <row r="839">
      <c r="B839" s="31"/>
      <c r="C839" s="31"/>
      <c r="D839" s="31"/>
    </row>
    <row r="840">
      <c r="B840" s="31"/>
      <c r="C840" s="31"/>
      <c r="D840" s="31"/>
    </row>
    <row r="841">
      <c r="B841" s="31"/>
      <c r="C841" s="31"/>
      <c r="D841" s="31"/>
    </row>
    <row r="842">
      <c r="B842" s="31"/>
      <c r="C842" s="31"/>
      <c r="D842" s="31"/>
    </row>
    <row r="843">
      <c r="B843" s="31"/>
      <c r="C843" s="31"/>
      <c r="D843" s="31"/>
    </row>
    <row r="844">
      <c r="B844" s="31"/>
      <c r="C844" s="31"/>
      <c r="D844" s="31"/>
    </row>
    <row r="845">
      <c r="B845" s="31"/>
      <c r="C845" s="31"/>
      <c r="D845" s="31"/>
    </row>
    <row r="846">
      <c r="B846" s="31"/>
      <c r="C846" s="31"/>
      <c r="D846" s="31"/>
    </row>
    <row r="847">
      <c r="B847" s="31"/>
      <c r="C847" s="31"/>
      <c r="D847" s="31"/>
    </row>
    <row r="848">
      <c r="B848" s="31"/>
      <c r="C848" s="31"/>
      <c r="D848" s="31"/>
    </row>
    <row r="849">
      <c r="B849" s="31"/>
      <c r="C849" s="31"/>
      <c r="D849" s="31"/>
    </row>
    <row r="850">
      <c r="B850" s="31"/>
      <c r="C850" s="31"/>
      <c r="D850" s="31"/>
    </row>
    <row r="851">
      <c r="B851" s="31"/>
      <c r="C851" s="31"/>
      <c r="D851" s="31"/>
    </row>
    <row r="852">
      <c r="B852" s="31"/>
      <c r="C852" s="31"/>
      <c r="D852" s="31"/>
    </row>
    <row r="853">
      <c r="B853" s="31"/>
      <c r="C853" s="31"/>
      <c r="D853" s="31"/>
    </row>
    <row r="854">
      <c r="B854" s="31"/>
      <c r="C854" s="31"/>
      <c r="D854" s="31"/>
    </row>
    <row r="855">
      <c r="B855" s="31"/>
      <c r="C855" s="31"/>
      <c r="D855" s="31"/>
    </row>
    <row r="856">
      <c r="B856" s="31"/>
      <c r="C856" s="31"/>
      <c r="D856" s="31"/>
    </row>
    <row r="857">
      <c r="B857" s="31"/>
      <c r="C857" s="31"/>
      <c r="D857" s="31"/>
    </row>
    <row r="858">
      <c r="B858" s="31"/>
      <c r="C858" s="31"/>
      <c r="D858" s="31"/>
    </row>
    <row r="859">
      <c r="B859" s="31"/>
      <c r="C859" s="31"/>
      <c r="D859" s="31"/>
    </row>
    <row r="860">
      <c r="B860" s="31"/>
      <c r="C860" s="31"/>
      <c r="D860" s="31"/>
    </row>
    <row r="861">
      <c r="B861" s="31"/>
      <c r="C861" s="31"/>
      <c r="D861" s="31"/>
    </row>
    <row r="862">
      <c r="B862" s="31"/>
      <c r="C862" s="31"/>
      <c r="D862" s="31"/>
    </row>
    <row r="863">
      <c r="B863" s="31"/>
      <c r="C863" s="31"/>
      <c r="D863" s="31"/>
    </row>
    <row r="864">
      <c r="B864" s="31"/>
      <c r="C864" s="31"/>
      <c r="D864" s="31"/>
    </row>
    <row r="865">
      <c r="B865" s="31"/>
      <c r="C865" s="31"/>
      <c r="D865" s="31"/>
    </row>
    <row r="866">
      <c r="B866" s="31"/>
      <c r="C866" s="31"/>
      <c r="D866" s="31"/>
    </row>
    <row r="867">
      <c r="B867" s="31"/>
      <c r="C867" s="31"/>
      <c r="D867" s="31"/>
    </row>
    <row r="868">
      <c r="B868" s="31"/>
      <c r="C868" s="31"/>
      <c r="D868" s="31"/>
    </row>
    <row r="869">
      <c r="B869" s="31"/>
      <c r="C869" s="31"/>
      <c r="D869" s="31"/>
    </row>
    <row r="870">
      <c r="B870" s="31"/>
      <c r="C870" s="31"/>
      <c r="D870" s="31"/>
    </row>
    <row r="871">
      <c r="B871" s="31"/>
      <c r="C871" s="31"/>
      <c r="D871" s="31"/>
    </row>
    <row r="872">
      <c r="B872" s="31"/>
      <c r="C872" s="31"/>
      <c r="D872" s="31"/>
    </row>
    <row r="873">
      <c r="B873" s="31"/>
      <c r="C873" s="31"/>
      <c r="D873" s="31"/>
    </row>
    <row r="874">
      <c r="B874" s="31"/>
      <c r="C874" s="31"/>
      <c r="D874" s="31"/>
    </row>
    <row r="875">
      <c r="B875" s="31"/>
      <c r="C875" s="31"/>
      <c r="D875" s="31"/>
    </row>
    <row r="876">
      <c r="B876" s="31"/>
      <c r="C876" s="31"/>
      <c r="D876" s="31"/>
    </row>
    <row r="877">
      <c r="B877" s="31"/>
      <c r="C877" s="31"/>
      <c r="D877" s="31"/>
    </row>
    <row r="878">
      <c r="B878" s="31"/>
      <c r="C878" s="31"/>
      <c r="D878" s="31"/>
    </row>
    <row r="879">
      <c r="B879" s="31"/>
      <c r="C879" s="31"/>
      <c r="D879" s="31"/>
    </row>
    <row r="880">
      <c r="B880" s="31"/>
      <c r="C880" s="31"/>
      <c r="D880" s="31"/>
    </row>
    <row r="881">
      <c r="B881" s="31"/>
      <c r="C881" s="31"/>
      <c r="D881" s="31"/>
    </row>
    <row r="882">
      <c r="B882" s="31"/>
      <c r="C882" s="31"/>
      <c r="D882" s="31"/>
    </row>
    <row r="883">
      <c r="B883" s="31"/>
      <c r="C883" s="31"/>
      <c r="D883" s="31"/>
    </row>
    <row r="884">
      <c r="B884" s="31"/>
      <c r="C884" s="31"/>
      <c r="D884" s="31"/>
    </row>
    <row r="885">
      <c r="B885" s="31"/>
      <c r="C885" s="31"/>
      <c r="D885" s="31"/>
    </row>
    <row r="886">
      <c r="B886" s="31"/>
      <c r="C886" s="31"/>
      <c r="D886" s="31"/>
    </row>
    <row r="887">
      <c r="B887" s="31"/>
      <c r="C887" s="31"/>
      <c r="D887" s="31"/>
    </row>
    <row r="888">
      <c r="B888" s="31"/>
      <c r="C888" s="31"/>
      <c r="D888" s="31"/>
    </row>
    <row r="889">
      <c r="B889" s="31"/>
      <c r="C889" s="31"/>
      <c r="D889" s="31"/>
    </row>
    <row r="890">
      <c r="B890" s="31"/>
      <c r="C890" s="31"/>
      <c r="D890" s="31"/>
    </row>
    <row r="891">
      <c r="B891" s="31"/>
      <c r="C891" s="31"/>
      <c r="D891" s="31"/>
    </row>
    <row r="892">
      <c r="B892" s="31"/>
      <c r="C892" s="31"/>
      <c r="D892" s="31"/>
    </row>
    <row r="893">
      <c r="B893" s="31"/>
      <c r="C893" s="31"/>
      <c r="D893" s="31"/>
    </row>
    <row r="894">
      <c r="B894" s="31"/>
      <c r="C894" s="31"/>
      <c r="D894" s="31"/>
    </row>
    <row r="895">
      <c r="B895" s="31"/>
      <c r="C895" s="31"/>
      <c r="D895" s="31"/>
    </row>
    <row r="896">
      <c r="B896" s="31"/>
      <c r="C896" s="31"/>
      <c r="D896" s="31"/>
    </row>
    <row r="897">
      <c r="B897" s="31"/>
      <c r="C897" s="31"/>
      <c r="D897" s="31"/>
    </row>
    <row r="898">
      <c r="B898" s="31"/>
      <c r="C898" s="31"/>
      <c r="D898" s="31"/>
    </row>
    <row r="899">
      <c r="B899" s="31"/>
      <c r="C899" s="31"/>
      <c r="D899" s="31"/>
    </row>
    <row r="900">
      <c r="B900" s="31"/>
      <c r="C900" s="31"/>
      <c r="D900" s="31"/>
    </row>
    <row r="901">
      <c r="B901" s="31"/>
      <c r="C901" s="31"/>
      <c r="D901" s="31"/>
    </row>
    <row r="902">
      <c r="B902" s="31"/>
      <c r="C902" s="31"/>
      <c r="D902" s="31"/>
    </row>
    <row r="903">
      <c r="B903" s="31"/>
      <c r="C903" s="31"/>
      <c r="D903" s="31"/>
    </row>
    <row r="904">
      <c r="B904" s="31"/>
      <c r="C904" s="31"/>
      <c r="D904" s="31"/>
    </row>
    <row r="905">
      <c r="B905" s="31"/>
      <c r="C905" s="31"/>
      <c r="D905" s="31"/>
    </row>
    <row r="906">
      <c r="B906" s="31"/>
      <c r="C906" s="31"/>
      <c r="D906" s="31"/>
    </row>
    <row r="907">
      <c r="B907" s="31"/>
      <c r="C907" s="31"/>
      <c r="D907" s="31"/>
    </row>
    <row r="908">
      <c r="B908" s="31"/>
      <c r="C908" s="31"/>
      <c r="D908" s="31"/>
    </row>
    <row r="909">
      <c r="B909" s="31"/>
      <c r="C909" s="31"/>
      <c r="D909" s="31"/>
    </row>
    <row r="910">
      <c r="B910" s="31"/>
      <c r="C910" s="31"/>
      <c r="D910" s="31"/>
    </row>
    <row r="911">
      <c r="B911" s="31"/>
      <c r="C911" s="31"/>
      <c r="D911" s="31"/>
    </row>
    <row r="912">
      <c r="B912" s="31"/>
      <c r="C912" s="31"/>
      <c r="D912" s="31"/>
    </row>
    <row r="913">
      <c r="B913" s="31"/>
      <c r="C913" s="31"/>
      <c r="D913" s="31"/>
    </row>
    <row r="914">
      <c r="B914" s="31"/>
      <c r="C914" s="31"/>
      <c r="D914" s="31"/>
    </row>
    <row r="915">
      <c r="B915" s="31"/>
      <c r="C915" s="31"/>
      <c r="D915" s="31"/>
    </row>
    <row r="916">
      <c r="B916" s="31"/>
      <c r="C916" s="31"/>
      <c r="D916" s="31"/>
    </row>
    <row r="917">
      <c r="B917" s="31"/>
      <c r="C917" s="31"/>
      <c r="D917" s="31"/>
    </row>
    <row r="918">
      <c r="B918" s="31"/>
      <c r="C918" s="31"/>
      <c r="D918" s="31"/>
    </row>
    <row r="919">
      <c r="B919" s="31"/>
      <c r="C919" s="31"/>
      <c r="D919" s="31"/>
    </row>
    <row r="920">
      <c r="B920" s="31"/>
      <c r="C920" s="31"/>
      <c r="D920" s="31"/>
    </row>
    <row r="921">
      <c r="B921" s="31"/>
      <c r="C921" s="31"/>
      <c r="D921" s="31"/>
    </row>
    <row r="922">
      <c r="B922" s="31"/>
      <c r="C922" s="31"/>
      <c r="D922" s="31"/>
    </row>
    <row r="923">
      <c r="B923" s="31"/>
      <c r="C923" s="31"/>
      <c r="D923" s="31"/>
    </row>
    <row r="924">
      <c r="B924" s="31"/>
      <c r="C924" s="31"/>
      <c r="D924" s="31"/>
    </row>
    <row r="925">
      <c r="B925" s="31"/>
      <c r="C925" s="31"/>
      <c r="D925" s="31"/>
    </row>
    <row r="926">
      <c r="B926" s="31"/>
      <c r="C926" s="31"/>
      <c r="D926" s="31"/>
    </row>
    <row r="927">
      <c r="B927" s="31"/>
      <c r="C927" s="31"/>
      <c r="D927" s="31"/>
    </row>
    <row r="928">
      <c r="B928" s="31"/>
      <c r="C928" s="31"/>
      <c r="D928" s="31"/>
    </row>
    <row r="929">
      <c r="B929" s="31"/>
      <c r="C929" s="31"/>
      <c r="D929" s="31"/>
    </row>
    <row r="930">
      <c r="B930" s="31"/>
      <c r="C930" s="31"/>
      <c r="D930" s="31"/>
    </row>
    <row r="931">
      <c r="B931" s="31"/>
      <c r="C931" s="31"/>
      <c r="D931" s="31"/>
    </row>
    <row r="932">
      <c r="B932" s="31"/>
      <c r="C932" s="31"/>
      <c r="D932" s="31"/>
    </row>
    <row r="933">
      <c r="B933" s="31"/>
      <c r="C933" s="31"/>
      <c r="D933" s="31"/>
    </row>
    <row r="934">
      <c r="B934" s="31"/>
      <c r="C934" s="31"/>
      <c r="D934" s="31"/>
    </row>
    <row r="935">
      <c r="B935" s="31"/>
      <c r="C935" s="31"/>
      <c r="D935" s="31"/>
    </row>
    <row r="936">
      <c r="B936" s="31"/>
      <c r="C936" s="31"/>
      <c r="D936" s="31"/>
    </row>
    <row r="937">
      <c r="B937" s="31"/>
      <c r="C937" s="31"/>
      <c r="D937" s="31"/>
    </row>
    <row r="938">
      <c r="B938" s="31"/>
      <c r="C938" s="31"/>
      <c r="D938" s="31"/>
    </row>
    <row r="939">
      <c r="B939" s="31"/>
      <c r="C939" s="31"/>
      <c r="D939" s="31"/>
    </row>
    <row r="940">
      <c r="B940" s="31"/>
      <c r="C940" s="31"/>
      <c r="D940" s="31"/>
    </row>
    <row r="941">
      <c r="B941" s="31"/>
      <c r="C941" s="31"/>
      <c r="D941" s="31"/>
    </row>
    <row r="942">
      <c r="B942" s="31"/>
      <c r="C942" s="31"/>
      <c r="D942" s="31"/>
    </row>
    <row r="943">
      <c r="B943" s="31"/>
      <c r="C943" s="31"/>
      <c r="D943" s="31"/>
    </row>
    <row r="944">
      <c r="B944" s="31"/>
      <c r="C944" s="31"/>
      <c r="D944" s="31"/>
    </row>
    <row r="945">
      <c r="B945" s="31"/>
      <c r="C945" s="31"/>
      <c r="D945" s="31"/>
    </row>
    <row r="946">
      <c r="B946" s="31"/>
      <c r="C946" s="31"/>
      <c r="D946" s="31"/>
    </row>
    <row r="947">
      <c r="B947" s="31"/>
      <c r="C947" s="31"/>
      <c r="D947" s="31"/>
    </row>
    <row r="948">
      <c r="B948" s="31"/>
      <c r="C948" s="31"/>
      <c r="D948" s="31"/>
    </row>
    <row r="949">
      <c r="B949" s="31"/>
      <c r="C949" s="31"/>
      <c r="D949" s="31"/>
    </row>
    <row r="950">
      <c r="B950" s="31"/>
      <c r="C950" s="31"/>
      <c r="D950" s="31"/>
    </row>
    <row r="951">
      <c r="B951" s="31"/>
      <c r="C951" s="31"/>
      <c r="D951" s="31"/>
    </row>
    <row r="952">
      <c r="B952" s="31"/>
      <c r="C952" s="31"/>
      <c r="D952" s="31"/>
    </row>
    <row r="953">
      <c r="B953" s="31"/>
      <c r="C953" s="31"/>
      <c r="D953" s="31"/>
    </row>
    <row r="954">
      <c r="B954" s="31"/>
      <c r="C954" s="31"/>
      <c r="D954" s="31"/>
    </row>
    <row r="955">
      <c r="B955" s="31"/>
      <c r="C955" s="31"/>
      <c r="D955" s="31"/>
    </row>
    <row r="956">
      <c r="B956" s="31"/>
      <c r="C956" s="31"/>
      <c r="D956" s="31"/>
    </row>
    <row r="957">
      <c r="B957" s="31"/>
      <c r="C957" s="31"/>
      <c r="D957" s="31"/>
    </row>
    <row r="958">
      <c r="B958" s="31"/>
      <c r="C958" s="31"/>
      <c r="D958" s="31"/>
    </row>
    <row r="959">
      <c r="B959" s="31"/>
      <c r="C959" s="31"/>
      <c r="D959" s="31"/>
    </row>
    <row r="960">
      <c r="B960" s="31"/>
      <c r="C960" s="31"/>
      <c r="D960" s="31"/>
    </row>
    <row r="961">
      <c r="B961" s="31"/>
      <c r="C961" s="31"/>
      <c r="D961" s="31"/>
    </row>
    <row r="962">
      <c r="B962" s="31"/>
      <c r="C962" s="31"/>
      <c r="D962" s="31"/>
    </row>
    <row r="963">
      <c r="B963" s="31"/>
      <c r="C963" s="31"/>
      <c r="D963" s="31"/>
    </row>
    <row r="964">
      <c r="B964" s="31"/>
      <c r="C964" s="31"/>
      <c r="D964" s="31"/>
    </row>
    <row r="965">
      <c r="B965" s="31"/>
      <c r="C965" s="31"/>
      <c r="D965" s="31"/>
    </row>
    <row r="966">
      <c r="B966" s="31"/>
      <c r="C966" s="31"/>
      <c r="D966" s="31"/>
    </row>
    <row r="967">
      <c r="B967" s="31"/>
      <c r="C967" s="31"/>
      <c r="D967" s="31"/>
    </row>
    <row r="968">
      <c r="B968" s="31"/>
      <c r="C968" s="31"/>
      <c r="D968" s="31"/>
    </row>
    <row r="969">
      <c r="B969" s="31"/>
      <c r="C969" s="31"/>
      <c r="D969" s="31"/>
    </row>
    <row r="970">
      <c r="B970" s="31"/>
      <c r="C970" s="31"/>
      <c r="D970" s="31"/>
    </row>
    <row r="971">
      <c r="B971" s="31"/>
      <c r="C971" s="31"/>
      <c r="D971" s="31"/>
    </row>
    <row r="972">
      <c r="B972" s="31"/>
      <c r="C972" s="31"/>
      <c r="D972" s="31"/>
    </row>
    <row r="973">
      <c r="B973" s="31"/>
      <c r="C973" s="31"/>
      <c r="D973" s="31"/>
    </row>
    <row r="974">
      <c r="B974" s="31"/>
      <c r="C974" s="31"/>
      <c r="D974" s="31"/>
    </row>
    <row r="975">
      <c r="B975" s="31"/>
      <c r="C975" s="31"/>
      <c r="D975" s="31"/>
    </row>
    <row r="976">
      <c r="B976" s="31"/>
      <c r="C976" s="31"/>
      <c r="D976" s="31"/>
    </row>
    <row r="977">
      <c r="B977" s="31"/>
      <c r="C977" s="31"/>
      <c r="D977" s="31"/>
    </row>
    <row r="978">
      <c r="B978" s="31"/>
      <c r="C978" s="31"/>
      <c r="D978" s="31"/>
    </row>
    <row r="979">
      <c r="B979" s="31"/>
      <c r="C979" s="31"/>
      <c r="D979" s="31"/>
    </row>
    <row r="980">
      <c r="B980" s="31"/>
      <c r="C980" s="31"/>
      <c r="D980" s="31"/>
    </row>
    <row r="981">
      <c r="B981" s="31"/>
      <c r="C981" s="31"/>
      <c r="D981" s="31"/>
    </row>
    <row r="982">
      <c r="B982" s="31"/>
      <c r="C982" s="31"/>
      <c r="D982" s="31"/>
    </row>
    <row r="983">
      <c r="B983" s="31"/>
      <c r="C983" s="31"/>
      <c r="D983" s="31"/>
    </row>
    <row r="984">
      <c r="B984" s="31"/>
      <c r="C984" s="31"/>
      <c r="D984" s="31"/>
    </row>
    <row r="985">
      <c r="B985" s="31"/>
      <c r="C985" s="31"/>
      <c r="D985" s="31"/>
    </row>
    <row r="986">
      <c r="B986" s="31"/>
      <c r="C986" s="31"/>
      <c r="D986" s="31"/>
    </row>
    <row r="987">
      <c r="B987" s="31"/>
      <c r="C987" s="31"/>
      <c r="D987" s="31"/>
    </row>
    <row r="988">
      <c r="B988" s="31"/>
      <c r="C988" s="31"/>
      <c r="D988" s="31"/>
    </row>
    <row r="989">
      <c r="B989" s="31"/>
      <c r="C989" s="31"/>
      <c r="D989" s="31"/>
    </row>
    <row r="990">
      <c r="B990" s="31"/>
      <c r="C990" s="31"/>
      <c r="D990" s="31"/>
    </row>
    <row r="991">
      <c r="B991" s="31"/>
      <c r="C991" s="31"/>
      <c r="D991" s="31"/>
    </row>
    <row r="992">
      <c r="B992" s="31"/>
      <c r="C992" s="31"/>
      <c r="D992" s="31"/>
    </row>
    <row r="993">
      <c r="B993" s="31"/>
      <c r="C993" s="31"/>
      <c r="D993" s="31"/>
    </row>
    <row r="994">
      <c r="B994" s="31"/>
      <c r="C994" s="31"/>
      <c r="D994" s="31"/>
    </row>
    <row r="995">
      <c r="B995" s="31"/>
      <c r="C995" s="31"/>
      <c r="D995" s="31"/>
    </row>
    <row r="996">
      <c r="B996" s="31"/>
      <c r="C996" s="31"/>
      <c r="D996" s="31"/>
    </row>
    <row r="997">
      <c r="B997" s="31"/>
      <c r="C997" s="31"/>
      <c r="D997" s="31"/>
    </row>
    <row r="998">
      <c r="B998" s="31"/>
      <c r="C998" s="31"/>
      <c r="D998" s="31"/>
    </row>
    <row r="999">
      <c r="B999" s="31"/>
      <c r="C999" s="31"/>
      <c r="D999" s="31"/>
    </row>
    <row r="1000">
      <c r="B1000" s="31"/>
      <c r="C1000" s="31"/>
      <c r="D1000" s="3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32">
        <v>106.0</v>
      </c>
      <c r="B1" s="33">
        <v>-13575.363</v>
      </c>
      <c r="C1" s="33">
        <v>-12523.787</v>
      </c>
      <c r="D1" s="33">
        <v>113.614</v>
      </c>
    </row>
    <row r="2">
      <c r="A2" s="32">
        <v>107.0</v>
      </c>
      <c r="B2" s="33">
        <v>-13521.195</v>
      </c>
      <c r="C2" s="33">
        <v>-11305.125</v>
      </c>
      <c r="D2" s="33">
        <v>97.831</v>
      </c>
    </row>
    <row r="3">
      <c r="A3" s="32">
        <v>108.0</v>
      </c>
      <c r="B3" s="33">
        <v>-13497.543</v>
      </c>
      <c r="C3" s="33">
        <v>-10126.627</v>
      </c>
      <c r="D3" s="33">
        <v>90.686</v>
      </c>
    </row>
    <row r="4">
      <c r="A4" s="32">
        <v>109.0</v>
      </c>
      <c r="B4" s="33">
        <v>-13508.582</v>
      </c>
      <c r="C4" s="33">
        <v>-8910.996</v>
      </c>
      <c r="D4" s="33">
        <v>94.721</v>
      </c>
    </row>
    <row r="5">
      <c r="A5" s="32">
        <v>110.0</v>
      </c>
      <c r="B5" s="33">
        <v>-13525.811</v>
      </c>
      <c r="C5" s="33">
        <v>-7684.022</v>
      </c>
      <c r="D5" s="33">
        <v>96.355</v>
      </c>
    </row>
    <row r="6">
      <c r="A6" s="32">
        <v>111.0</v>
      </c>
      <c r="B6" s="33">
        <v>-13464.245</v>
      </c>
      <c r="C6" s="33">
        <v>-6505.916</v>
      </c>
      <c r="D6" s="33">
        <v>83.178</v>
      </c>
    </row>
    <row r="7">
      <c r="A7" s="32">
        <v>112.0</v>
      </c>
      <c r="B7" s="33">
        <v>-13502.559</v>
      </c>
      <c r="C7" s="33">
        <v>-5307.985</v>
      </c>
      <c r="D7" s="33">
        <v>69.18</v>
      </c>
    </row>
    <row r="8">
      <c r="A8" s="32">
        <v>113.0</v>
      </c>
      <c r="B8" s="33">
        <v>-13473.124</v>
      </c>
      <c r="C8" s="33">
        <v>-4071.312</v>
      </c>
      <c r="D8" s="33">
        <v>61.003</v>
      </c>
    </row>
    <row r="9">
      <c r="A9" s="32">
        <v>114.0</v>
      </c>
      <c r="B9" s="33">
        <v>-13502.548</v>
      </c>
      <c r="C9" s="33">
        <v>-2908.279</v>
      </c>
      <c r="D9" s="33">
        <v>66.389</v>
      </c>
    </row>
    <row r="10">
      <c r="A10" s="32">
        <v>115.0</v>
      </c>
      <c r="B10" s="33">
        <v>-13497.986</v>
      </c>
      <c r="C10" s="33">
        <v>-1660.573</v>
      </c>
      <c r="D10" s="33">
        <v>72.207</v>
      </c>
    </row>
    <row r="11">
      <c r="A11" s="32">
        <v>116.0</v>
      </c>
      <c r="B11" s="33">
        <v>-13494.465</v>
      </c>
      <c r="C11" s="33">
        <v>-507.028</v>
      </c>
      <c r="D11" s="33">
        <v>84.541</v>
      </c>
    </row>
    <row r="12">
      <c r="A12" s="32">
        <v>205.0</v>
      </c>
      <c r="B12" s="33">
        <v>-12295.799</v>
      </c>
      <c r="C12" s="33">
        <v>-13715.371</v>
      </c>
      <c r="D12" s="33">
        <v>39.888</v>
      </c>
    </row>
    <row r="13">
      <c r="A13" s="32">
        <v>206.0</v>
      </c>
      <c r="B13" s="33">
        <v>-12238.019</v>
      </c>
      <c r="C13" s="33">
        <v>-12443.387</v>
      </c>
      <c r="D13" s="33">
        <v>64.883</v>
      </c>
    </row>
    <row r="14">
      <c r="A14" s="32">
        <v>207.0</v>
      </c>
      <c r="B14" s="33">
        <v>-12309.443</v>
      </c>
      <c r="C14" s="33">
        <v>-11317.501</v>
      </c>
      <c r="D14" s="33">
        <v>64.149</v>
      </c>
    </row>
    <row r="15">
      <c r="A15" s="32">
        <v>208.0</v>
      </c>
      <c r="B15" s="33">
        <v>-12309.456</v>
      </c>
      <c r="C15" s="33">
        <v>-10115.332</v>
      </c>
      <c r="D15" s="33">
        <v>67.083</v>
      </c>
    </row>
    <row r="16">
      <c r="A16" s="32">
        <v>209.0</v>
      </c>
      <c r="B16" s="33">
        <v>-12306.55</v>
      </c>
      <c r="C16" s="33">
        <v>-8882.17</v>
      </c>
      <c r="D16" s="33">
        <v>60.22</v>
      </c>
    </row>
    <row r="17">
      <c r="A17" s="32">
        <v>210.0</v>
      </c>
      <c r="B17" s="33">
        <v>-12307.032</v>
      </c>
      <c r="C17" s="33">
        <v>-7715.742</v>
      </c>
      <c r="D17" s="33">
        <v>53.421</v>
      </c>
    </row>
    <row r="18">
      <c r="A18" s="32">
        <v>211.0</v>
      </c>
      <c r="B18" s="33">
        <v>-12303.839</v>
      </c>
      <c r="C18" s="33">
        <v>-6511.683</v>
      </c>
      <c r="D18" s="33">
        <v>52.793</v>
      </c>
    </row>
    <row r="19">
      <c r="A19" s="32">
        <v>212.0</v>
      </c>
      <c r="B19" s="33">
        <v>-12304.375</v>
      </c>
      <c r="C19" s="33">
        <v>-5313.948</v>
      </c>
      <c r="D19" s="33">
        <v>55.235</v>
      </c>
    </row>
    <row r="20">
      <c r="A20" s="32">
        <v>213.0</v>
      </c>
      <c r="B20" s="33">
        <v>-12303.537</v>
      </c>
      <c r="C20" s="33">
        <v>-4116.438</v>
      </c>
      <c r="D20" s="33">
        <v>61.764</v>
      </c>
    </row>
    <row r="21">
      <c r="A21" s="32">
        <v>214.0</v>
      </c>
      <c r="B21" s="33">
        <v>-12296.454</v>
      </c>
      <c r="C21" s="33">
        <v>-2909.934</v>
      </c>
      <c r="D21" s="33">
        <v>59.724</v>
      </c>
    </row>
    <row r="22">
      <c r="A22" s="32">
        <v>215.0</v>
      </c>
      <c r="B22" s="33">
        <v>-12294.657</v>
      </c>
      <c r="C22" s="33">
        <v>-1703.535</v>
      </c>
      <c r="D22" s="33">
        <v>68.645</v>
      </c>
    </row>
    <row r="23">
      <c r="A23" s="32">
        <v>216.0</v>
      </c>
      <c r="B23" s="33">
        <v>-12294.907</v>
      </c>
      <c r="C23" s="33">
        <v>-505.902</v>
      </c>
      <c r="D23" s="33">
        <v>102.122</v>
      </c>
    </row>
    <row r="24">
      <c r="A24" s="32">
        <v>217.0</v>
      </c>
      <c r="B24" s="33">
        <v>-12232.791</v>
      </c>
      <c r="C24" s="33">
        <v>669.886</v>
      </c>
      <c r="D24" s="33">
        <v>169.487</v>
      </c>
    </row>
    <row r="25">
      <c r="A25" s="32">
        <v>304.0</v>
      </c>
      <c r="B25" s="33">
        <v>-11144.02</v>
      </c>
      <c r="C25" s="33">
        <v>-14923.319</v>
      </c>
      <c r="D25" s="33">
        <v>20.242</v>
      </c>
    </row>
    <row r="26">
      <c r="A26" s="32">
        <v>305.0</v>
      </c>
      <c r="B26" s="33">
        <v>-11110.417</v>
      </c>
      <c r="C26" s="33">
        <v>-13710.349</v>
      </c>
      <c r="D26" s="33">
        <v>31.68</v>
      </c>
    </row>
    <row r="27">
      <c r="A27" s="32">
        <v>306.0</v>
      </c>
      <c r="B27" s="33">
        <v>-11113.318</v>
      </c>
      <c r="C27" s="33">
        <v>-12514.09</v>
      </c>
      <c r="D27" s="33">
        <v>43.33</v>
      </c>
    </row>
    <row r="28">
      <c r="A28" s="32">
        <v>307.0</v>
      </c>
      <c r="B28" s="33">
        <v>-11111.019</v>
      </c>
      <c r="C28" s="33">
        <v>-11315.046</v>
      </c>
      <c r="D28" s="33">
        <v>49.37</v>
      </c>
    </row>
    <row r="29">
      <c r="A29" s="32">
        <v>308.0</v>
      </c>
      <c r="B29" s="33">
        <v>-11108.968</v>
      </c>
      <c r="C29" s="33">
        <v>-10112.882</v>
      </c>
      <c r="D29" s="33">
        <v>51.208</v>
      </c>
    </row>
    <row r="30">
      <c r="A30" s="32">
        <v>309.0</v>
      </c>
      <c r="B30" s="33">
        <v>-11107.776</v>
      </c>
      <c r="C30" s="33">
        <v>-8915.592</v>
      </c>
      <c r="D30" s="33">
        <v>46.56</v>
      </c>
    </row>
    <row r="31">
      <c r="A31" s="32">
        <v>310.0</v>
      </c>
      <c r="B31" s="33">
        <v>-11104.516</v>
      </c>
      <c r="C31" s="33">
        <v>-7717.531</v>
      </c>
      <c r="D31" s="33">
        <v>44.862</v>
      </c>
    </row>
    <row r="32">
      <c r="A32" s="32">
        <v>311.0</v>
      </c>
      <c r="B32" s="33">
        <v>-11104.191</v>
      </c>
      <c r="C32" s="33">
        <v>-6513.251</v>
      </c>
      <c r="D32" s="33">
        <v>47.789</v>
      </c>
    </row>
    <row r="33">
      <c r="A33" s="32">
        <v>312.0</v>
      </c>
      <c r="B33" s="33">
        <v>-11102.932</v>
      </c>
      <c r="C33" s="33">
        <v>-5318.187</v>
      </c>
      <c r="D33" s="33">
        <v>52.133</v>
      </c>
    </row>
    <row r="34">
      <c r="A34" s="32">
        <v>313.0</v>
      </c>
      <c r="B34" s="33">
        <v>-11110.705</v>
      </c>
      <c r="C34" s="33">
        <v>-4102.563</v>
      </c>
      <c r="D34" s="33">
        <v>55.439</v>
      </c>
    </row>
    <row r="35">
      <c r="A35" s="32">
        <v>314.0</v>
      </c>
      <c r="B35" s="33">
        <v>-11102.103</v>
      </c>
      <c r="C35" s="33">
        <v>-2911.276</v>
      </c>
      <c r="D35" s="33">
        <v>54.291</v>
      </c>
    </row>
    <row r="36">
      <c r="A36" s="32">
        <v>315.0</v>
      </c>
      <c r="B36" s="33">
        <v>-11096.689</v>
      </c>
      <c r="C36" s="33">
        <v>-1707.658</v>
      </c>
      <c r="D36" s="33">
        <v>59.037</v>
      </c>
    </row>
    <row r="37">
      <c r="A37" s="32">
        <v>316.0</v>
      </c>
      <c r="B37" s="33">
        <v>-11095.017</v>
      </c>
      <c r="C37" s="33">
        <v>-509.474</v>
      </c>
      <c r="D37" s="33">
        <v>76.819</v>
      </c>
    </row>
    <row r="38">
      <c r="A38" s="32">
        <v>317.0</v>
      </c>
      <c r="B38" s="33">
        <v>-11095.251</v>
      </c>
      <c r="C38" s="33">
        <v>693.609</v>
      </c>
      <c r="D38" s="33">
        <v>102.781</v>
      </c>
    </row>
    <row r="39">
      <c r="A39" s="32">
        <v>318.0</v>
      </c>
      <c r="B39" s="33">
        <v>-11091.997</v>
      </c>
      <c r="C39" s="33">
        <v>1894.916</v>
      </c>
      <c r="D39" s="33">
        <v>106.582</v>
      </c>
    </row>
    <row r="40">
      <c r="A40" s="32">
        <v>403.0</v>
      </c>
      <c r="B40" s="33">
        <v>-9925.718</v>
      </c>
      <c r="C40" s="33">
        <v>-16111.173</v>
      </c>
      <c r="D40" s="33">
        <v>-4.016</v>
      </c>
    </row>
    <row r="41">
      <c r="A41" s="32">
        <v>404.0</v>
      </c>
      <c r="B41" s="33">
        <v>-9872.989</v>
      </c>
      <c r="C41" s="33">
        <v>-14939.323</v>
      </c>
      <c r="D41" s="33">
        <v>10.085</v>
      </c>
    </row>
    <row r="42">
      <c r="A42" s="32">
        <v>405.0</v>
      </c>
      <c r="B42" s="33">
        <v>-9912.873</v>
      </c>
      <c r="C42" s="33">
        <v>-13721.375</v>
      </c>
      <c r="D42" s="33">
        <v>22.837</v>
      </c>
    </row>
    <row r="43">
      <c r="A43" s="32">
        <v>406.0</v>
      </c>
      <c r="B43" s="33">
        <v>-9990.694</v>
      </c>
      <c r="C43" s="33">
        <v>-12446.735</v>
      </c>
      <c r="D43" s="33">
        <v>33.647</v>
      </c>
    </row>
    <row r="44">
      <c r="A44" s="32">
        <v>407.0</v>
      </c>
      <c r="B44" s="33">
        <v>-9909.335</v>
      </c>
      <c r="C44" s="33">
        <v>-11316.422</v>
      </c>
      <c r="D44" s="33">
        <v>41.594</v>
      </c>
    </row>
    <row r="45">
      <c r="A45" s="32">
        <v>408.0</v>
      </c>
      <c r="B45" s="33">
        <v>-9908.429</v>
      </c>
      <c r="C45" s="33">
        <v>-10116.155</v>
      </c>
      <c r="D45" s="33">
        <v>48.797</v>
      </c>
    </row>
    <row r="46">
      <c r="A46" s="32">
        <v>409.0</v>
      </c>
      <c r="B46" s="33">
        <v>-9908.966</v>
      </c>
      <c r="C46" s="33">
        <v>-8913.418</v>
      </c>
      <c r="D46" s="33">
        <v>41.295</v>
      </c>
    </row>
    <row r="47">
      <c r="A47" s="32">
        <v>410.0</v>
      </c>
      <c r="B47" s="33">
        <v>-9906.578</v>
      </c>
      <c r="C47" s="33">
        <v>-7715.577</v>
      </c>
      <c r="D47" s="33">
        <v>37.564</v>
      </c>
    </row>
    <row r="48">
      <c r="A48" s="32">
        <v>411.0</v>
      </c>
      <c r="B48" s="33">
        <v>-9895.041</v>
      </c>
      <c r="C48" s="33">
        <v>-6510.871</v>
      </c>
      <c r="D48" s="33">
        <v>42.519</v>
      </c>
    </row>
    <row r="49">
      <c r="A49" s="32">
        <v>412.0</v>
      </c>
      <c r="B49" s="33">
        <v>-9912.174</v>
      </c>
      <c r="C49" s="33">
        <v>-5307.679</v>
      </c>
      <c r="D49" s="33">
        <v>46.97</v>
      </c>
    </row>
    <row r="50">
      <c r="A50" s="32">
        <v>413.0</v>
      </c>
      <c r="B50" s="33">
        <v>-9895.994</v>
      </c>
      <c r="C50" s="33">
        <v>-4117.74</v>
      </c>
      <c r="D50" s="33">
        <v>51.186</v>
      </c>
    </row>
    <row r="51">
      <c r="A51" s="32">
        <v>414.0</v>
      </c>
      <c r="B51" s="33">
        <v>-9895.669</v>
      </c>
      <c r="C51" s="33">
        <v>-2916.779</v>
      </c>
      <c r="D51" s="33">
        <v>43.481</v>
      </c>
    </row>
    <row r="52">
      <c r="A52" s="32">
        <v>415.0</v>
      </c>
      <c r="B52" s="33">
        <v>-9896.902</v>
      </c>
      <c r="C52" s="33">
        <v>-1709.6</v>
      </c>
      <c r="D52" s="33">
        <v>43.948</v>
      </c>
    </row>
    <row r="53">
      <c r="A53" s="32">
        <v>416.0</v>
      </c>
      <c r="B53" s="33">
        <v>-9894.996</v>
      </c>
      <c r="C53" s="33">
        <v>-540.068</v>
      </c>
      <c r="D53" s="33">
        <v>49.188</v>
      </c>
    </row>
    <row r="54">
      <c r="A54" s="32">
        <v>417.0</v>
      </c>
      <c r="B54" s="33">
        <v>-9893.109</v>
      </c>
      <c r="C54" s="33">
        <v>688.212</v>
      </c>
      <c r="D54" s="33">
        <v>59.326</v>
      </c>
    </row>
    <row r="55">
      <c r="A55" s="32">
        <v>418.0</v>
      </c>
      <c r="B55" s="33">
        <v>-9892.116</v>
      </c>
      <c r="C55" s="33">
        <v>1886.849</v>
      </c>
      <c r="D55" s="33">
        <v>64.525</v>
      </c>
    </row>
    <row r="56">
      <c r="A56" s="32">
        <v>419.0</v>
      </c>
      <c r="B56" s="33">
        <v>-9861.801</v>
      </c>
      <c r="C56" s="33">
        <v>3086.232</v>
      </c>
      <c r="D56" s="33">
        <v>72.573</v>
      </c>
    </row>
    <row r="57">
      <c r="A57" s="32">
        <v>502.0</v>
      </c>
      <c r="B57" s="33">
        <v>-8700.612</v>
      </c>
      <c r="C57" s="33">
        <v>-17324.844</v>
      </c>
      <c r="D57" s="33">
        <v>-18.969</v>
      </c>
    </row>
    <row r="58">
      <c r="A58" s="32">
        <v>503.0</v>
      </c>
      <c r="B58" s="33">
        <v>-8717.616</v>
      </c>
      <c r="C58" s="33">
        <v>-16118.265</v>
      </c>
      <c r="D58" s="33">
        <v>-6.951</v>
      </c>
    </row>
    <row r="59">
      <c r="A59" s="32">
        <v>504.0</v>
      </c>
      <c r="B59" s="33">
        <v>-8713.963</v>
      </c>
      <c r="C59" s="33">
        <v>-14918.701</v>
      </c>
      <c r="D59" s="33">
        <v>6.31</v>
      </c>
    </row>
    <row r="60">
      <c r="A60" s="32">
        <v>505.0</v>
      </c>
      <c r="B60" s="33">
        <v>-8774.101</v>
      </c>
      <c r="C60" s="33">
        <v>-13729.816</v>
      </c>
      <c r="D60" s="33">
        <v>12.384</v>
      </c>
    </row>
    <row r="61">
      <c r="A61" s="32">
        <v>506.0</v>
      </c>
      <c r="B61" s="33">
        <v>-8709.323</v>
      </c>
      <c r="C61" s="33">
        <v>-12522.635</v>
      </c>
      <c r="D61" s="33">
        <v>19.033</v>
      </c>
    </row>
    <row r="62">
      <c r="A62" s="32">
        <v>507.0</v>
      </c>
      <c r="B62" s="33">
        <v>-8710.315</v>
      </c>
      <c r="C62" s="33">
        <v>-11318.252</v>
      </c>
      <c r="D62" s="33">
        <v>19.648</v>
      </c>
    </row>
    <row r="63">
      <c r="A63" s="32">
        <v>508.0</v>
      </c>
      <c r="B63" s="33">
        <v>-8707.163</v>
      </c>
      <c r="C63" s="33">
        <v>-10120.088</v>
      </c>
      <c r="D63" s="33">
        <v>17.801</v>
      </c>
    </row>
    <row r="64">
      <c r="A64" s="32">
        <v>509.0</v>
      </c>
      <c r="B64" s="33">
        <v>-8702.71</v>
      </c>
      <c r="C64" s="33">
        <v>-8906.5</v>
      </c>
      <c r="D64" s="33">
        <v>24.172</v>
      </c>
    </row>
    <row r="65">
      <c r="A65" s="32">
        <v>510.0</v>
      </c>
      <c r="B65" s="33">
        <v>-8704.507</v>
      </c>
      <c r="C65" s="33">
        <v>-7720.662</v>
      </c>
      <c r="D65" s="33">
        <v>30.489</v>
      </c>
    </row>
    <row r="66">
      <c r="A66" s="32">
        <v>511.0</v>
      </c>
      <c r="B66" s="33">
        <v>-8708.195</v>
      </c>
      <c r="C66" s="33">
        <v>-6525.937</v>
      </c>
      <c r="D66" s="33">
        <v>38.442</v>
      </c>
    </row>
    <row r="67">
      <c r="A67" s="32">
        <v>512.0</v>
      </c>
      <c r="B67" s="33">
        <v>-8698.56</v>
      </c>
      <c r="C67" s="33">
        <v>-5314.338</v>
      </c>
      <c r="D67" s="33">
        <v>41.542</v>
      </c>
    </row>
    <row r="68">
      <c r="A68" s="32">
        <v>513.0</v>
      </c>
      <c r="B68" s="33">
        <v>-8689.193</v>
      </c>
      <c r="C68" s="33">
        <v>-4117.611</v>
      </c>
      <c r="D68" s="33">
        <v>37.182</v>
      </c>
    </row>
    <row r="69">
      <c r="A69" s="32">
        <v>514.0</v>
      </c>
      <c r="B69" s="33">
        <v>-8700.018</v>
      </c>
      <c r="C69" s="33">
        <v>-2913.311</v>
      </c>
      <c r="D69" s="33">
        <v>32.813</v>
      </c>
    </row>
    <row r="70">
      <c r="A70" s="32">
        <v>515.0</v>
      </c>
      <c r="B70" s="33">
        <v>-8696.696</v>
      </c>
      <c r="C70" s="33">
        <v>-1708.806</v>
      </c>
      <c r="D70" s="33">
        <v>36.455</v>
      </c>
    </row>
    <row r="71">
      <c r="A71" s="32">
        <v>516.0</v>
      </c>
      <c r="B71" s="33">
        <v>-8696.751</v>
      </c>
      <c r="C71" s="33">
        <v>-511.734</v>
      </c>
      <c r="D71" s="33">
        <v>42.174</v>
      </c>
    </row>
    <row r="72">
      <c r="A72" s="32">
        <v>517.0</v>
      </c>
      <c r="B72" s="33">
        <v>-8691.373</v>
      </c>
      <c r="C72" s="33">
        <v>685.337</v>
      </c>
      <c r="D72" s="33">
        <v>50.015</v>
      </c>
    </row>
    <row r="73">
      <c r="A73" s="32">
        <v>518.0</v>
      </c>
      <c r="B73" s="33">
        <v>-8692.115</v>
      </c>
      <c r="C73" s="33">
        <v>1891.415</v>
      </c>
      <c r="D73" s="33">
        <v>61.319</v>
      </c>
    </row>
    <row r="74">
      <c r="A74" s="32">
        <v>519.0</v>
      </c>
      <c r="B74" s="33">
        <v>-8703.578</v>
      </c>
      <c r="C74" s="33">
        <v>3075.747</v>
      </c>
      <c r="D74" s="33">
        <v>73.461</v>
      </c>
    </row>
    <row r="75">
      <c r="A75" s="32">
        <v>520.0</v>
      </c>
      <c r="B75" s="33">
        <v>-8686.194</v>
      </c>
      <c r="C75" s="33">
        <v>4288.479</v>
      </c>
      <c r="D75" s="33">
        <v>80.403</v>
      </c>
    </row>
    <row r="76">
      <c r="A76" s="32">
        <v>601.0</v>
      </c>
      <c r="B76" s="33">
        <v>-7518.315</v>
      </c>
      <c r="C76" s="33">
        <v>-18563.045</v>
      </c>
      <c r="D76" s="33">
        <v>-31.261</v>
      </c>
    </row>
    <row r="77">
      <c r="A77" s="32">
        <v>602.0</v>
      </c>
      <c r="B77" s="33">
        <v>-7527.171</v>
      </c>
      <c r="C77" s="33">
        <v>-17327.385</v>
      </c>
      <c r="D77" s="33">
        <v>-20.536</v>
      </c>
    </row>
    <row r="78">
      <c r="A78" s="32">
        <v>603.0</v>
      </c>
      <c r="B78" s="33">
        <v>-7532.272</v>
      </c>
      <c r="C78" s="33">
        <v>-16057.076</v>
      </c>
      <c r="D78" s="33">
        <v>-10.889</v>
      </c>
    </row>
    <row r="79">
      <c r="A79" s="32">
        <v>604.0</v>
      </c>
      <c r="B79" s="33">
        <v>-7511.745</v>
      </c>
      <c r="C79" s="33">
        <v>-14932.465</v>
      </c>
      <c r="D79" s="33">
        <v>-5.266</v>
      </c>
    </row>
    <row r="80">
      <c r="A80" s="32">
        <v>605.0</v>
      </c>
      <c r="B80" s="33">
        <v>-7513.357</v>
      </c>
      <c r="C80" s="33">
        <v>-13723.107</v>
      </c>
      <c r="D80" s="33">
        <v>1.376</v>
      </c>
    </row>
    <row r="81">
      <c r="A81" s="32">
        <v>606.0</v>
      </c>
      <c r="B81" s="33">
        <v>-7513.254</v>
      </c>
      <c r="C81" s="33">
        <v>-12526.962</v>
      </c>
      <c r="D81" s="33">
        <v>9.143</v>
      </c>
    </row>
    <row r="82">
      <c r="A82" s="32">
        <v>607.0</v>
      </c>
      <c r="B82" s="33">
        <v>-7507.521</v>
      </c>
      <c r="C82" s="33">
        <v>-11321.153</v>
      </c>
      <c r="D82" s="33">
        <v>14.04</v>
      </c>
    </row>
    <row r="83">
      <c r="A83" s="32">
        <v>608.0</v>
      </c>
      <c r="B83" s="33">
        <v>-7505.328</v>
      </c>
      <c r="C83" s="33">
        <v>-10119.435</v>
      </c>
      <c r="D83" s="33">
        <v>12.127</v>
      </c>
    </row>
    <row r="84">
      <c r="A84" s="32">
        <v>609.0</v>
      </c>
      <c r="B84" s="33">
        <v>-7505.049</v>
      </c>
      <c r="C84" s="33">
        <v>-8921.834</v>
      </c>
      <c r="D84" s="33">
        <v>18.11</v>
      </c>
    </row>
    <row r="85">
      <c r="A85" s="32">
        <v>610.0</v>
      </c>
      <c r="B85" s="33">
        <v>-7504.25</v>
      </c>
      <c r="C85" s="33">
        <v>-7721.233</v>
      </c>
      <c r="D85" s="33">
        <v>25.211</v>
      </c>
    </row>
    <row r="86">
      <c r="A86" s="32">
        <v>611.0</v>
      </c>
      <c r="B86" s="33">
        <v>-7502.409</v>
      </c>
      <c r="C86" s="33">
        <v>-6516.962</v>
      </c>
      <c r="D86" s="33">
        <v>30.631</v>
      </c>
    </row>
    <row r="87">
      <c r="A87" s="32">
        <v>612.0</v>
      </c>
      <c r="B87" s="33">
        <v>-7501.439</v>
      </c>
      <c r="C87" s="33">
        <v>-5318.352</v>
      </c>
      <c r="D87" s="33">
        <v>38.397</v>
      </c>
    </row>
    <row r="88">
      <c r="A88" s="32">
        <v>613.0</v>
      </c>
      <c r="B88" s="33">
        <v>-7499.152</v>
      </c>
      <c r="C88" s="33">
        <v>-4114.731</v>
      </c>
      <c r="D88" s="33">
        <v>30.192</v>
      </c>
    </row>
    <row r="89">
      <c r="A89" s="32">
        <v>614.0</v>
      </c>
      <c r="B89" s="33">
        <v>-7519.784</v>
      </c>
      <c r="C89" s="33">
        <v>-2952.289</v>
      </c>
      <c r="D89" s="33">
        <v>27.843</v>
      </c>
    </row>
    <row r="90">
      <c r="A90" s="32">
        <v>615.0</v>
      </c>
      <c r="B90" s="33">
        <v>-7496.163</v>
      </c>
      <c r="C90" s="33">
        <v>-1717.268</v>
      </c>
      <c r="D90" s="33">
        <v>33.934</v>
      </c>
    </row>
    <row r="91">
      <c r="A91" s="32">
        <v>616.0</v>
      </c>
      <c r="B91" s="33">
        <v>-7492.428</v>
      </c>
      <c r="C91" s="33">
        <v>-514.87</v>
      </c>
      <c r="D91" s="33">
        <v>40.759</v>
      </c>
    </row>
    <row r="92">
      <c r="A92" s="32">
        <v>617.0</v>
      </c>
      <c r="B92" s="33">
        <v>-7495.163</v>
      </c>
      <c r="C92" s="33">
        <v>683.873</v>
      </c>
      <c r="D92" s="33">
        <v>42.91</v>
      </c>
    </row>
    <row r="93">
      <c r="A93" s="32">
        <v>618.0</v>
      </c>
      <c r="B93" s="33">
        <v>-7490.919</v>
      </c>
      <c r="C93" s="33">
        <v>1876.951</v>
      </c>
      <c r="D93" s="33">
        <v>49.185</v>
      </c>
    </row>
    <row r="94">
      <c r="A94" s="32">
        <v>619.0</v>
      </c>
      <c r="B94" s="33">
        <v>-7486.319</v>
      </c>
      <c r="C94" s="33">
        <v>3085.248</v>
      </c>
      <c r="D94" s="33">
        <v>58.119</v>
      </c>
    </row>
    <row r="95">
      <c r="A95" s="32">
        <v>620.0</v>
      </c>
      <c r="B95" s="33">
        <v>-7484.482</v>
      </c>
      <c r="C95" s="33">
        <v>4295.998</v>
      </c>
      <c r="D95" s="33">
        <v>70.019</v>
      </c>
    </row>
    <row r="96">
      <c r="A96" s="32">
        <v>621.0</v>
      </c>
      <c r="B96" s="33">
        <v>-7482.506</v>
      </c>
      <c r="C96" s="33">
        <v>5479.444</v>
      </c>
      <c r="D96" s="33">
        <v>88.962</v>
      </c>
    </row>
    <row r="97">
      <c r="A97" s="32">
        <v>701.0</v>
      </c>
      <c r="B97" s="33">
        <v>-6319.928</v>
      </c>
      <c r="C97" s="33">
        <v>-18525.462</v>
      </c>
      <c r="D97" s="33">
        <v>-29.833</v>
      </c>
    </row>
    <row r="98">
      <c r="A98" s="32">
        <v>702.0</v>
      </c>
      <c r="B98" s="33">
        <v>-6315.669</v>
      </c>
      <c r="C98" s="33">
        <v>-17315.116</v>
      </c>
      <c r="D98" s="33">
        <v>-25.07</v>
      </c>
    </row>
    <row r="99">
      <c r="A99" s="32">
        <v>703.0</v>
      </c>
      <c r="B99" s="33">
        <v>-6314.548</v>
      </c>
      <c r="C99" s="33">
        <v>-16125.771</v>
      </c>
      <c r="D99" s="33">
        <v>-12.673</v>
      </c>
    </row>
    <row r="100">
      <c r="A100" s="32">
        <v>704.0</v>
      </c>
      <c r="B100" s="33">
        <v>-6314.189</v>
      </c>
      <c r="C100" s="33">
        <v>-14921.088</v>
      </c>
      <c r="D100" s="33">
        <v>-3.553</v>
      </c>
    </row>
    <row r="101">
      <c r="A101" s="32">
        <v>705.0</v>
      </c>
      <c r="B101" s="33">
        <v>-6316.172</v>
      </c>
      <c r="C101" s="33">
        <v>-13730.161</v>
      </c>
      <c r="D101" s="33">
        <v>2.186</v>
      </c>
    </row>
    <row r="102">
      <c r="A102" s="32">
        <v>706.0</v>
      </c>
      <c r="B102" s="33">
        <v>-6312.016</v>
      </c>
      <c r="C102" s="33">
        <v>-12527.369</v>
      </c>
      <c r="D102" s="33">
        <v>15.763</v>
      </c>
    </row>
    <row r="103">
      <c r="A103" s="32">
        <v>707.0</v>
      </c>
      <c r="B103" s="33">
        <v>-6309.563</v>
      </c>
      <c r="C103" s="33">
        <v>-11320.307</v>
      </c>
      <c r="D103" s="33">
        <v>5.557</v>
      </c>
    </row>
    <row r="104">
      <c r="A104" s="32">
        <v>708.0</v>
      </c>
      <c r="B104" s="33">
        <v>-6299.958</v>
      </c>
      <c r="C104" s="33">
        <v>-10119.715</v>
      </c>
      <c r="D104" s="33">
        <v>8.66</v>
      </c>
    </row>
    <row r="105">
      <c r="A105" s="32">
        <v>709.0</v>
      </c>
      <c r="B105" s="33">
        <v>-6303.057</v>
      </c>
      <c r="C105" s="33">
        <v>-8922.998</v>
      </c>
      <c r="D105" s="33">
        <v>13.387</v>
      </c>
    </row>
    <row r="106">
      <c r="A106" s="32">
        <v>710.0</v>
      </c>
      <c r="B106" s="33">
        <v>-6305.807</v>
      </c>
      <c r="C106" s="33">
        <v>-7722.836</v>
      </c>
      <c r="D106" s="33">
        <v>17.205</v>
      </c>
    </row>
    <row r="107">
      <c r="A107" s="32">
        <v>711.0</v>
      </c>
      <c r="B107" s="33">
        <v>-6301.391</v>
      </c>
      <c r="C107" s="33">
        <v>-6523.123</v>
      </c>
      <c r="D107" s="33">
        <v>23.822</v>
      </c>
    </row>
    <row r="108">
      <c r="A108" s="32">
        <v>712.0</v>
      </c>
      <c r="B108" s="33">
        <v>-6391.903</v>
      </c>
      <c r="C108" s="33">
        <v>-5369.634</v>
      </c>
      <c r="D108" s="33">
        <v>30.92</v>
      </c>
    </row>
    <row r="109">
      <c r="A109" s="32">
        <v>713.0</v>
      </c>
      <c r="B109" s="33">
        <v>-6297.984</v>
      </c>
      <c r="C109" s="33">
        <v>-4117.786</v>
      </c>
      <c r="D109" s="33">
        <v>24.967</v>
      </c>
    </row>
    <row r="110">
      <c r="A110" s="32">
        <v>714.0</v>
      </c>
      <c r="B110" s="33">
        <v>-6295.893</v>
      </c>
      <c r="C110" s="33">
        <v>-2915.615</v>
      </c>
      <c r="D110" s="33">
        <v>25.503</v>
      </c>
    </row>
    <row r="111">
      <c r="A111" s="32">
        <v>715.0</v>
      </c>
      <c r="B111" s="33">
        <v>-6296.4</v>
      </c>
      <c r="C111" s="33">
        <v>-1711.221</v>
      </c>
      <c r="D111" s="33">
        <v>35.691</v>
      </c>
    </row>
    <row r="112">
      <c r="A112" s="32">
        <v>716.0</v>
      </c>
      <c r="B112" s="33">
        <v>-6291.291</v>
      </c>
      <c r="C112" s="33">
        <v>-513.265</v>
      </c>
      <c r="D112" s="33">
        <v>35.115</v>
      </c>
    </row>
    <row r="113">
      <c r="A113" s="32">
        <v>717.0</v>
      </c>
      <c r="B113" s="33">
        <v>-6288.426</v>
      </c>
      <c r="C113" s="33">
        <v>687.249</v>
      </c>
      <c r="D113" s="33">
        <v>35.772</v>
      </c>
    </row>
    <row r="114">
      <c r="A114" s="32">
        <v>718.0</v>
      </c>
      <c r="B114" s="33">
        <v>-6288.757</v>
      </c>
      <c r="C114" s="33">
        <v>1887.769</v>
      </c>
      <c r="D114" s="33">
        <v>40.308</v>
      </c>
    </row>
    <row r="115">
      <c r="A115" s="32">
        <v>719.0</v>
      </c>
      <c r="B115" s="33">
        <v>-6282.278</v>
      </c>
      <c r="C115" s="33">
        <v>3087.401</v>
      </c>
      <c r="D115" s="33">
        <v>48.036</v>
      </c>
    </row>
    <row r="116">
      <c r="A116" s="32">
        <v>720.0</v>
      </c>
      <c r="B116" s="33">
        <v>-6285.466</v>
      </c>
      <c r="C116" s="33">
        <v>4284.606</v>
      </c>
      <c r="D116" s="33">
        <v>60.509</v>
      </c>
    </row>
    <row r="117">
      <c r="A117" s="32">
        <v>721.0</v>
      </c>
      <c r="B117" s="33">
        <v>-6286.748</v>
      </c>
      <c r="C117" s="33">
        <v>5494.478</v>
      </c>
      <c r="D117" s="33">
        <v>75.478</v>
      </c>
    </row>
    <row r="118">
      <c r="A118" s="32">
        <v>722.0</v>
      </c>
      <c r="B118" s="33">
        <v>-6282.355</v>
      </c>
      <c r="C118" s="33">
        <v>6689.923</v>
      </c>
      <c r="D118" s="33">
        <v>95.538</v>
      </c>
    </row>
    <row r="119">
      <c r="A119" s="32">
        <v>801.0</v>
      </c>
      <c r="B119" s="33">
        <v>-5120.975</v>
      </c>
      <c r="C119" s="33">
        <v>-18537.765</v>
      </c>
      <c r="D119" s="33">
        <v>-32.735</v>
      </c>
    </row>
    <row r="120">
      <c r="A120" s="32">
        <v>802.0</v>
      </c>
      <c r="B120" s="33">
        <v>-5109.546</v>
      </c>
      <c r="C120" s="33">
        <v>-17317.988</v>
      </c>
      <c r="D120" s="33">
        <v>-26.919</v>
      </c>
    </row>
    <row r="121">
      <c r="A121" s="32">
        <v>803.0</v>
      </c>
      <c r="B121" s="33">
        <v>-5115.784</v>
      </c>
      <c r="C121" s="33">
        <v>-16129.532</v>
      </c>
      <c r="D121" s="33">
        <v>-12.32</v>
      </c>
    </row>
    <row r="122">
      <c r="A122" s="32">
        <v>804.0</v>
      </c>
      <c r="B122" s="33">
        <v>-5112.492</v>
      </c>
      <c r="C122" s="33">
        <v>-14918.299</v>
      </c>
      <c r="D122" s="33">
        <v>-3.712</v>
      </c>
    </row>
    <row r="123">
      <c r="A123" s="32">
        <v>805.0</v>
      </c>
      <c r="B123" s="33">
        <v>-5110.672</v>
      </c>
      <c r="C123" s="33">
        <v>-13726.687</v>
      </c>
      <c r="D123" s="33">
        <v>-7.838</v>
      </c>
    </row>
    <row r="124">
      <c r="A124" s="32">
        <v>806.0</v>
      </c>
      <c r="B124" s="33">
        <v>-5131.362</v>
      </c>
      <c r="C124" s="33">
        <v>-12571.743</v>
      </c>
      <c r="D124" s="33">
        <v>7.183</v>
      </c>
    </row>
    <row r="125">
      <c r="A125" s="32">
        <v>807.0</v>
      </c>
      <c r="B125" s="33">
        <v>-5109.367</v>
      </c>
      <c r="C125" s="33">
        <v>-11324.722</v>
      </c>
      <c r="D125" s="33">
        <v>-1.368</v>
      </c>
    </row>
    <row r="126">
      <c r="A126" s="32">
        <v>808.0</v>
      </c>
      <c r="B126" s="33">
        <v>-5104.093</v>
      </c>
      <c r="C126" s="33">
        <v>-10125.017</v>
      </c>
      <c r="D126" s="33">
        <v>2.108</v>
      </c>
    </row>
    <row r="127">
      <c r="A127" s="32">
        <v>809.0</v>
      </c>
      <c r="B127" s="33">
        <v>-5103.742</v>
      </c>
      <c r="C127" s="33">
        <v>-8922.973</v>
      </c>
      <c r="D127" s="33">
        <v>5.358</v>
      </c>
    </row>
    <row r="128">
      <c r="A128" s="32">
        <v>810.0</v>
      </c>
      <c r="B128" s="33">
        <v>-5108.58</v>
      </c>
      <c r="C128" s="33">
        <v>-7726.368</v>
      </c>
      <c r="D128" s="33">
        <v>12.24</v>
      </c>
    </row>
    <row r="129">
      <c r="A129" s="32">
        <v>811.0</v>
      </c>
      <c r="B129" s="33">
        <v>-5098.801</v>
      </c>
      <c r="C129" s="33">
        <v>-6503.667</v>
      </c>
      <c r="D129" s="33">
        <v>13.395</v>
      </c>
    </row>
    <row r="130">
      <c r="A130" s="32">
        <v>812.0</v>
      </c>
      <c r="B130" s="33">
        <v>-5095.088</v>
      </c>
      <c r="C130" s="33">
        <v>-5311.719</v>
      </c>
      <c r="D130" s="33">
        <v>14.095</v>
      </c>
    </row>
    <row r="131">
      <c r="A131" s="32">
        <v>813.0</v>
      </c>
      <c r="B131" s="33">
        <v>-5100.876</v>
      </c>
      <c r="C131" s="33">
        <v>-4121.653</v>
      </c>
      <c r="D131" s="33">
        <v>17.942</v>
      </c>
    </row>
    <row r="132">
      <c r="A132" s="32">
        <v>814.0</v>
      </c>
      <c r="B132" s="33">
        <v>-5101.387</v>
      </c>
      <c r="C132" s="33">
        <v>-2912.489</v>
      </c>
      <c r="D132" s="33">
        <v>26.41</v>
      </c>
    </row>
    <row r="133">
      <c r="A133" s="32">
        <v>815.0</v>
      </c>
      <c r="B133" s="33">
        <v>-5093.357</v>
      </c>
      <c r="C133" s="33">
        <v>-1717.092</v>
      </c>
      <c r="D133" s="33">
        <v>26.562</v>
      </c>
    </row>
    <row r="134">
      <c r="A134" s="32">
        <v>816.0</v>
      </c>
      <c r="B134" s="33">
        <v>-5091.54</v>
      </c>
      <c r="C134" s="33">
        <v>-514.916</v>
      </c>
      <c r="D134" s="33">
        <v>29.784</v>
      </c>
    </row>
    <row r="135">
      <c r="A135" s="32">
        <v>817.0</v>
      </c>
      <c r="B135" s="33">
        <v>-5093.429</v>
      </c>
      <c r="C135" s="33">
        <v>689.042</v>
      </c>
      <c r="D135" s="33">
        <v>29.596</v>
      </c>
    </row>
    <row r="136">
      <c r="A136" s="32">
        <v>818.0</v>
      </c>
      <c r="B136" s="33">
        <v>-5087.99</v>
      </c>
      <c r="C136" s="33">
        <v>1885.891</v>
      </c>
      <c r="D136" s="33">
        <v>29.388</v>
      </c>
    </row>
    <row r="137">
      <c r="A137" s="32">
        <v>819.0</v>
      </c>
      <c r="B137" s="33">
        <v>-5087.906</v>
      </c>
      <c r="C137" s="33">
        <v>3083.638</v>
      </c>
      <c r="D137" s="33">
        <v>38.551</v>
      </c>
    </row>
    <row r="138">
      <c r="A138" s="32">
        <v>820.0</v>
      </c>
      <c r="B138" s="33">
        <v>-5088.421</v>
      </c>
      <c r="C138" s="33">
        <v>4285.387</v>
      </c>
      <c r="D138" s="33">
        <v>44.054</v>
      </c>
    </row>
    <row r="139">
      <c r="A139" s="32">
        <v>821.0</v>
      </c>
      <c r="B139" s="33">
        <v>-5081.185</v>
      </c>
      <c r="C139" s="33">
        <v>5478.479</v>
      </c>
      <c r="D139" s="33">
        <v>55.925</v>
      </c>
    </row>
    <row r="140">
      <c r="A140" s="32">
        <v>822.0</v>
      </c>
      <c r="B140" s="33">
        <v>-5082.574</v>
      </c>
      <c r="C140" s="33">
        <v>6684.478</v>
      </c>
      <c r="D140" s="33">
        <v>79.961</v>
      </c>
    </row>
    <row r="141">
      <c r="A141" s="32">
        <v>823.0</v>
      </c>
      <c r="B141" s="33">
        <v>-5058.379</v>
      </c>
      <c r="C141" s="33">
        <v>7875.049</v>
      </c>
      <c r="D141" s="33">
        <v>113.308</v>
      </c>
    </row>
    <row r="142">
      <c r="A142" s="32">
        <v>827.0</v>
      </c>
      <c r="B142" s="33">
        <v>-4552.321</v>
      </c>
      <c r="C142" s="33">
        <v>12609.336</v>
      </c>
      <c r="D142" s="33">
        <v>123.157</v>
      </c>
    </row>
    <row r="143">
      <c r="A143" s="32">
        <v>828.0</v>
      </c>
      <c r="B143" s="33">
        <v>-5009.473</v>
      </c>
      <c r="C143" s="33">
        <v>13844.284</v>
      </c>
      <c r="D143" s="33">
        <v>128.918</v>
      </c>
    </row>
    <row r="144">
      <c r="A144" s="32">
        <v>901.0</v>
      </c>
      <c r="B144" s="33">
        <v>-3918.812</v>
      </c>
      <c r="C144" s="33">
        <v>-18533.005</v>
      </c>
      <c r="D144" s="33">
        <v>-36.301</v>
      </c>
    </row>
    <row r="145">
      <c r="A145" s="32">
        <v>902.0</v>
      </c>
      <c r="B145" s="33">
        <v>-3917.696</v>
      </c>
      <c r="C145" s="33">
        <v>-17329.775</v>
      </c>
      <c r="D145" s="33">
        <v>-27.699</v>
      </c>
    </row>
    <row r="146">
      <c r="A146" s="32">
        <v>903.0</v>
      </c>
      <c r="B146" s="33">
        <v>-3913.984</v>
      </c>
      <c r="C146" s="33">
        <v>-16127.309</v>
      </c>
      <c r="D146" s="33">
        <v>-23.145</v>
      </c>
    </row>
    <row r="147">
      <c r="A147" s="32">
        <v>904.0</v>
      </c>
      <c r="B147" s="33">
        <v>-3574.926</v>
      </c>
      <c r="C147" s="33">
        <v>-14880.582</v>
      </c>
      <c r="D147" s="33">
        <v>-19.418</v>
      </c>
    </row>
    <row r="148">
      <c r="A148" s="32">
        <v>905.0</v>
      </c>
      <c r="B148" s="33">
        <v>-3937.198</v>
      </c>
      <c r="C148" s="33">
        <v>-13791.876</v>
      </c>
      <c r="D148" s="33">
        <v>-9.638</v>
      </c>
    </row>
    <row r="149">
      <c r="A149" s="32">
        <v>906.0</v>
      </c>
      <c r="B149" s="33">
        <v>-3909.857</v>
      </c>
      <c r="C149" s="33">
        <v>-12525.777</v>
      </c>
      <c r="D149" s="33">
        <v>-8.942</v>
      </c>
    </row>
    <row r="150">
      <c r="A150" s="32">
        <v>907.0</v>
      </c>
      <c r="B150" s="33">
        <v>-3906.147</v>
      </c>
      <c r="C150" s="33">
        <v>-11323.075</v>
      </c>
      <c r="D150" s="33">
        <v>-5.976</v>
      </c>
    </row>
    <row r="151">
      <c r="A151" s="32">
        <v>908.0</v>
      </c>
      <c r="B151" s="33">
        <v>-3888.623</v>
      </c>
      <c r="C151" s="33">
        <v>-10138.919</v>
      </c>
      <c r="D151" s="33">
        <v>-3.678</v>
      </c>
    </row>
    <row r="152">
      <c r="A152" s="32">
        <v>909.0</v>
      </c>
      <c r="B152" s="33">
        <v>-3907.976</v>
      </c>
      <c r="C152" s="33">
        <v>-8923.101</v>
      </c>
      <c r="D152" s="33">
        <v>1.951</v>
      </c>
    </row>
    <row r="153">
      <c r="A153" s="32">
        <v>910.0</v>
      </c>
      <c r="B153" s="33">
        <v>-3902.197</v>
      </c>
      <c r="C153" s="33">
        <v>-7725.279</v>
      </c>
      <c r="D153" s="33">
        <v>6.562</v>
      </c>
    </row>
    <row r="154">
      <c r="A154" s="32">
        <v>911.0</v>
      </c>
      <c r="B154" s="33">
        <v>-3901.855</v>
      </c>
      <c r="C154" s="33">
        <v>-6520.45</v>
      </c>
      <c r="D154" s="33">
        <v>6.591</v>
      </c>
    </row>
    <row r="155">
      <c r="A155" s="32">
        <v>912.0</v>
      </c>
      <c r="B155" s="33">
        <v>-3898.493</v>
      </c>
      <c r="C155" s="33">
        <v>-5318.732</v>
      </c>
      <c r="D155" s="33">
        <v>8.231</v>
      </c>
    </row>
    <row r="156">
      <c r="A156" s="32">
        <v>913.0</v>
      </c>
      <c r="B156" s="33">
        <v>-3899.623</v>
      </c>
      <c r="C156" s="33">
        <v>-4119.342</v>
      </c>
      <c r="D156" s="33">
        <v>12.03</v>
      </c>
    </row>
    <row r="157">
      <c r="A157" s="32">
        <v>914.0</v>
      </c>
      <c r="B157" s="33">
        <v>-3898.078</v>
      </c>
      <c r="C157" s="33">
        <v>-2922.948</v>
      </c>
      <c r="D157" s="33">
        <v>14.503</v>
      </c>
    </row>
    <row r="158">
      <c r="A158" s="32">
        <v>915.0</v>
      </c>
      <c r="B158" s="33">
        <v>-3894.547</v>
      </c>
      <c r="C158" s="33">
        <v>-1719.003</v>
      </c>
      <c r="D158" s="33">
        <v>21.855</v>
      </c>
    </row>
    <row r="159">
      <c r="A159" s="32">
        <v>916.0</v>
      </c>
      <c r="B159" s="33">
        <v>-3888.685</v>
      </c>
      <c r="C159" s="33">
        <v>-519.494</v>
      </c>
      <c r="D159" s="33">
        <v>21.429</v>
      </c>
    </row>
    <row r="160">
      <c r="A160" s="32">
        <v>917.0</v>
      </c>
      <c r="B160" s="33">
        <v>-3890.069</v>
      </c>
      <c r="C160" s="33">
        <v>682.907</v>
      </c>
      <c r="D160" s="33">
        <v>20.443</v>
      </c>
    </row>
    <row r="161">
      <c r="A161" s="32">
        <v>918.0</v>
      </c>
      <c r="B161" s="33">
        <v>-3890.073</v>
      </c>
      <c r="C161" s="33">
        <v>1885.753</v>
      </c>
      <c r="D161" s="33">
        <v>18.94</v>
      </c>
    </row>
    <row r="162">
      <c r="A162" s="32">
        <v>919.0</v>
      </c>
      <c r="B162" s="33">
        <v>-3888.099</v>
      </c>
      <c r="C162" s="33">
        <v>3082.274</v>
      </c>
      <c r="D162" s="33">
        <v>23.964</v>
      </c>
    </row>
    <row r="163">
      <c r="A163" s="32">
        <v>920.0</v>
      </c>
      <c r="B163" s="33">
        <v>-3883.797</v>
      </c>
      <c r="C163" s="33">
        <v>4283.352</v>
      </c>
      <c r="D163" s="33">
        <v>30.232</v>
      </c>
    </row>
    <row r="164">
      <c r="A164" s="32">
        <v>921.0</v>
      </c>
      <c r="B164" s="33">
        <v>-3880.617</v>
      </c>
      <c r="C164" s="33">
        <v>5485.992</v>
      </c>
      <c r="D164" s="33">
        <v>39.2</v>
      </c>
    </row>
    <row r="165">
      <c r="A165" s="32">
        <v>922.0</v>
      </c>
      <c r="B165" s="33">
        <v>-3878.738</v>
      </c>
      <c r="C165" s="33">
        <v>6686.651</v>
      </c>
      <c r="D165" s="33">
        <v>58.793</v>
      </c>
    </row>
    <row r="166">
      <c r="A166" s="32">
        <v>923.0</v>
      </c>
      <c r="B166" s="33">
        <v>-3879.358</v>
      </c>
      <c r="C166" s="33">
        <v>7884.095</v>
      </c>
      <c r="D166" s="33">
        <v>73.631</v>
      </c>
    </row>
    <row r="167">
      <c r="A167" s="32">
        <v>924.0</v>
      </c>
      <c r="B167" s="33">
        <v>-3879.541</v>
      </c>
      <c r="C167" s="33">
        <v>9096.096</v>
      </c>
      <c r="D167" s="33">
        <v>89.644</v>
      </c>
    </row>
    <row r="168">
      <c r="A168" s="32">
        <v>928.0</v>
      </c>
      <c r="B168" s="33">
        <v>-3998.421</v>
      </c>
      <c r="C168" s="33">
        <v>13759.711</v>
      </c>
      <c r="D168" s="33">
        <v>113.514</v>
      </c>
    </row>
    <row r="169">
      <c r="A169" s="32">
        <v>1001.0</v>
      </c>
      <c r="B169" s="33">
        <v>-2581.0</v>
      </c>
      <c r="C169" s="33">
        <v>-18390.107</v>
      </c>
      <c r="D169" s="33">
        <v>-31.205</v>
      </c>
    </row>
    <row r="170">
      <c r="A170" s="32">
        <v>1002.0</v>
      </c>
      <c r="B170" s="33">
        <v>-2720.303</v>
      </c>
      <c r="C170" s="33">
        <v>-17321.401</v>
      </c>
      <c r="D170" s="33">
        <v>-26.534</v>
      </c>
    </row>
    <row r="171">
      <c r="A171" s="32">
        <v>1003.0</v>
      </c>
      <c r="B171" s="33">
        <v>-2713.82</v>
      </c>
      <c r="C171" s="33">
        <v>-16076.629</v>
      </c>
      <c r="D171" s="33">
        <v>-21.824</v>
      </c>
    </row>
    <row r="172">
      <c r="A172" s="32">
        <v>1004.0</v>
      </c>
      <c r="B172" s="33">
        <v>-2705.299</v>
      </c>
      <c r="C172" s="33">
        <v>-14936.892</v>
      </c>
      <c r="D172" s="33">
        <v>-20.653</v>
      </c>
    </row>
    <row r="173">
      <c r="A173" s="32">
        <v>1005.0</v>
      </c>
      <c r="B173" s="33">
        <v>-2706.958</v>
      </c>
      <c r="C173" s="33">
        <v>-13729.534</v>
      </c>
      <c r="D173" s="33">
        <v>-15.573</v>
      </c>
    </row>
    <row r="174">
      <c r="A174" s="32">
        <v>1006.0</v>
      </c>
      <c r="B174" s="33">
        <v>-2710.001</v>
      </c>
      <c r="C174" s="33">
        <v>-12528.499</v>
      </c>
      <c r="D174" s="33">
        <v>-11.726</v>
      </c>
    </row>
    <row r="175">
      <c r="A175" s="32">
        <v>1007.0</v>
      </c>
      <c r="B175" s="33">
        <v>-2709.753</v>
      </c>
      <c r="C175" s="33">
        <v>-11309.807</v>
      </c>
      <c r="D175" s="33">
        <v>-8.083</v>
      </c>
    </row>
    <row r="176">
      <c r="A176" s="32">
        <v>1008.0</v>
      </c>
      <c r="B176" s="33">
        <v>-2708.566</v>
      </c>
      <c r="C176" s="33">
        <v>-10126.755</v>
      </c>
      <c r="D176" s="33">
        <v>-5.589</v>
      </c>
    </row>
    <row r="177">
      <c r="A177" s="32">
        <v>1009.0</v>
      </c>
      <c r="B177" s="33">
        <v>-2701.932</v>
      </c>
      <c r="C177" s="33">
        <v>-8927.713</v>
      </c>
      <c r="D177" s="33">
        <v>-2.091</v>
      </c>
    </row>
    <row r="178">
      <c r="A178" s="32">
        <v>1010.0</v>
      </c>
      <c r="B178" s="33">
        <v>-2706.699</v>
      </c>
      <c r="C178" s="33">
        <v>-7719.227</v>
      </c>
      <c r="D178" s="33">
        <v>2.428</v>
      </c>
    </row>
    <row r="179">
      <c r="A179" s="32">
        <v>1011.0</v>
      </c>
      <c r="B179" s="33">
        <v>-2698.858</v>
      </c>
      <c r="C179" s="33">
        <v>-6520.622</v>
      </c>
      <c r="D179" s="33">
        <v>4.292</v>
      </c>
    </row>
    <row r="180">
      <c r="A180" s="32">
        <v>1012.0</v>
      </c>
      <c r="B180" s="33">
        <v>-2707.337</v>
      </c>
      <c r="C180" s="33">
        <v>-5320.565</v>
      </c>
      <c r="D180" s="33">
        <v>5.416</v>
      </c>
    </row>
    <row r="181">
      <c r="A181" s="32">
        <v>1013.0</v>
      </c>
      <c r="B181" s="33">
        <v>-2697.08</v>
      </c>
      <c r="C181" s="33">
        <v>-4120.069</v>
      </c>
      <c r="D181" s="33">
        <v>7.181</v>
      </c>
    </row>
    <row r="182">
      <c r="A182" s="32">
        <v>1014.0</v>
      </c>
      <c r="B182" s="33">
        <v>-2695.889</v>
      </c>
      <c r="C182" s="33">
        <v>-2920.121</v>
      </c>
      <c r="D182" s="33">
        <v>8.185</v>
      </c>
    </row>
    <row r="183">
      <c r="A183" s="32">
        <v>1015.0</v>
      </c>
      <c r="B183" s="33">
        <v>-2689.09</v>
      </c>
      <c r="C183" s="33">
        <v>-1716.399</v>
      </c>
      <c r="D183" s="33">
        <v>13.706</v>
      </c>
    </row>
    <row r="184">
      <c r="A184" s="32">
        <v>1016.0</v>
      </c>
      <c r="B184" s="33">
        <v>-2688.33</v>
      </c>
      <c r="C184" s="33">
        <v>-512.559</v>
      </c>
      <c r="D184" s="33">
        <v>13.768</v>
      </c>
    </row>
    <row r="185">
      <c r="A185" s="32">
        <v>1017.0</v>
      </c>
      <c r="B185" s="33">
        <v>-2689.041</v>
      </c>
      <c r="C185" s="33">
        <v>677.07</v>
      </c>
      <c r="D185" s="33">
        <v>12.862</v>
      </c>
    </row>
    <row r="186">
      <c r="A186" s="32">
        <v>1018.0</v>
      </c>
      <c r="B186" s="33">
        <v>-2688.196</v>
      </c>
      <c r="C186" s="33">
        <v>1876.583</v>
      </c>
      <c r="D186" s="33">
        <v>11.292</v>
      </c>
    </row>
    <row r="187">
      <c r="A187" s="32">
        <v>1019.0</v>
      </c>
      <c r="B187" s="33">
        <v>-2682.432</v>
      </c>
      <c r="C187" s="33">
        <v>3085.757</v>
      </c>
      <c r="D187" s="33">
        <v>9.973</v>
      </c>
    </row>
    <row r="188">
      <c r="A188" s="32">
        <v>1020.0</v>
      </c>
      <c r="B188" s="33">
        <v>-2686.506</v>
      </c>
      <c r="C188" s="33">
        <v>4284.392</v>
      </c>
      <c r="D188" s="33">
        <v>15.497</v>
      </c>
    </row>
    <row r="189">
      <c r="A189" s="32">
        <v>1021.0</v>
      </c>
      <c r="B189" s="33">
        <v>-2685.839</v>
      </c>
      <c r="C189" s="33">
        <v>5488.368</v>
      </c>
      <c r="D189" s="33">
        <v>30.082</v>
      </c>
    </row>
    <row r="190">
      <c r="A190" s="32">
        <v>1022.0</v>
      </c>
      <c r="B190" s="33">
        <v>-2679.311</v>
      </c>
      <c r="C190" s="33">
        <v>6680.683</v>
      </c>
      <c r="D190" s="33">
        <v>38.415</v>
      </c>
    </row>
    <row r="191">
      <c r="A191" s="32">
        <v>1023.0</v>
      </c>
      <c r="B191" s="33">
        <v>-2696.835</v>
      </c>
      <c r="C191" s="33">
        <v>7878.575</v>
      </c>
      <c r="D191" s="33">
        <v>54.927</v>
      </c>
    </row>
    <row r="192">
      <c r="A192" s="32">
        <v>1024.0</v>
      </c>
      <c r="B192" s="33">
        <v>-2676.944</v>
      </c>
      <c r="C192" s="33">
        <v>9086.448</v>
      </c>
      <c r="D192" s="33">
        <v>64.505</v>
      </c>
    </row>
    <row r="193">
      <c r="A193" s="32">
        <v>1025.0</v>
      </c>
      <c r="B193" s="33">
        <v>-2684.549</v>
      </c>
      <c r="C193" s="33">
        <v>10284.559</v>
      </c>
      <c r="D193" s="33">
        <v>70.998</v>
      </c>
    </row>
    <row r="194">
      <c r="A194" s="32">
        <v>1027.0</v>
      </c>
      <c r="B194" s="33">
        <v>-2774.13</v>
      </c>
      <c r="C194" s="33">
        <v>12582.775</v>
      </c>
      <c r="D194" s="33">
        <v>87.53</v>
      </c>
    </row>
    <row r="195">
      <c r="A195" s="32">
        <v>1028.0</v>
      </c>
      <c r="B195" s="33">
        <v>-2697.849</v>
      </c>
      <c r="C195" s="33">
        <v>13959.219</v>
      </c>
      <c r="D195" s="33">
        <v>93.621</v>
      </c>
    </row>
    <row r="196">
      <c r="A196" s="32">
        <v>1029.0</v>
      </c>
      <c r="B196" s="33">
        <v>-3093.812</v>
      </c>
      <c r="C196" s="33">
        <v>14991.614</v>
      </c>
      <c r="D196" s="33">
        <v>110.523</v>
      </c>
    </row>
    <row r="197">
      <c r="A197" s="32">
        <v>1101.0</v>
      </c>
      <c r="B197" s="33">
        <v>-1515.798</v>
      </c>
      <c r="C197" s="33">
        <v>-18533.633</v>
      </c>
      <c r="D197" s="33">
        <v>-29.84</v>
      </c>
    </row>
    <row r="198">
      <c r="A198" s="32">
        <v>1102.0</v>
      </c>
      <c r="B198" s="33">
        <v>-1701.525</v>
      </c>
      <c r="C198" s="33">
        <v>-17527.227</v>
      </c>
      <c r="D198" s="33">
        <v>-26.845</v>
      </c>
    </row>
    <row r="199">
      <c r="A199" s="32">
        <v>1103.0</v>
      </c>
      <c r="B199" s="33">
        <v>-1515.765</v>
      </c>
      <c r="C199" s="33">
        <v>-16125.81</v>
      </c>
      <c r="D199" s="33">
        <v>-21.882</v>
      </c>
    </row>
    <row r="200">
      <c r="A200" s="32">
        <v>1104.0</v>
      </c>
      <c r="B200" s="33">
        <v>-1513.719</v>
      </c>
      <c r="C200" s="33">
        <v>-14931.663</v>
      </c>
      <c r="D200" s="33">
        <v>-19.617</v>
      </c>
    </row>
    <row r="201">
      <c r="A201" s="32">
        <v>1105.0</v>
      </c>
      <c r="B201" s="33">
        <v>-1518.239</v>
      </c>
      <c r="C201" s="33">
        <v>-13721.19</v>
      </c>
      <c r="D201" s="33">
        <v>-16.912</v>
      </c>
    </row>
    <row r="202">
      <c r="A202" s="32">
        <v>1106.0</v>
      </c>
      <c r="B202" s="33">
        <v>-1508.503</v>
      </c>
      <c r="C202" s="33">
        <v>-12531.041</v>
      </c>
      <c r="D202" s="33">
        <v>-12.954</v>
      </c>
    </row>
    <row r="203">
      <c r="A203" s="32">
        <v>1107.0</v>
      </c>
      <c r="B203" s="33">
        <v>-1506.544</v>
      </c>
      <c r="C203" s="33">
        <v>-11328.006</v>
      </c>
      <c r="D203" s="33">
        <v>-9.388</v>
      </c>
    </row>
    <row r="204">
      <c r="A204" s="32">
        <v>1108.0</v>
      </c>
      <c r="B204" s="33">
        <v>-1501.82</v>
      </c>
      <c r="C204" s="33">
        <v>-10127.521</v>
      </c>
      <c r="D204" s="33">
        <v>-6.743</v>
      </c>
    </row>
    <row r="205">
      <c r="A205" s="32">
        <v>1109.0</v>
      </c>
      <c r="B205" s="33">
        <v>-1499.257</v>
      </c>
      <c r="C205" s="33">
        <v>-8924.812</v>
      </c>
      <c r="D205" s="33">
        <v>-4.932</v>
      </c>
    </row>
    <row r="206">
      <c r="A206" s="32">
        <v>1110.0</v>
      </c>
      <c r="B206" s="33">
        <v>-1498.769</v>
      </c>
      <c r="C206" s="33">
        <v>-7728.762</v>
      </c>
      <c r="D206" s="33">
        <v>-2.556</v>
      </c>
    </row>
    <row r="207">
      <c r="A207" s="32">
        <v>1111.0</v>
      </c>
      <c r="B207" s="33">
        <v>-1499.576</v>
      </c>
      <c r="C207" s="33">
        <v>-6526.494</v>
      </c>
      <c r="D207" s="33">
        <v>1.411</v>
      </c>
    </row>
    <row r="208">
      <c r="A208" s="32">
        <v>1112.0</v>
      </c>
      <c r="B208" s="33">
        <v>-1498.309</v>
      </c>
      <c r="C208" s="33">
        <v>-5322.332</v>
      </c>
      <c r="D208" s="33">
        <v>3.122</v>
      </c>
    </row>
    <row r="209">
      <c r="A209" s="32">
        <v>1113.0</v>
      </c>
      <c r="B209" s="33">
        <v>-1493.677</v>
      </c>
      <c r="C209" s="33">
        <v>-4122.721</v>
      </c>
      <c r="D209" s="33">
        <v>3.854</v>
      </c>
    </row>
    <row r="210">
      <c r="A210" s="32">
        <v>1114.0</v>
      </c>
      <c r="B210" s="33">
        <v>-1494.655</v>
      </c>
      <c r="C210" s="33">
        <v>-2919.887</v>
      </c>
      <c r="D210" s="33">
        <v>4.839</v>
      </c>
    </row>
    <row r="211">
      <c r="A211" s="32">
        <v>1115.0</v>
      </c>
      <c r="B211" s="33">
        <v>-1491.665</v>
      </c>
      <c r="C211" s="33">
        <v>-1721.715</v>
      </c>
      <c r="D211" s="33">
        <v>7.057</v>
      </c>
    </row>
    <row r="212">
      <c r="A212" s="32">
        <v>1116.0</v>
      </c>
      <c r="B212" s="33">
        <v>-1491.521</v>
      </c>
      <c r="C212" s="33">
        <v>-518.209</v>
      </c>
      <c r="D212" s="33">
        <v>8.469</v>
      </c>
    </row>
    <row r="213">
      <c r="A213" s="32">
        <v>1117.0</v>
      </c>
      <c r="B213" s="33">
        <v>-1489.479</v>
      </c>
      <c r="C213" s="33">
        <v>682.411</v>
      </c>
      <c r="D213" s="33">
        <v>4.934</v>
      </c>
    </row>
    <row r="214">
      <c r="A214" s="32">
        <v>1118.0</v>
      </c>
      <c r="B214" s="33">
        <v>-1484.503</v>
      </c>
      <c r="C214" s="33">
        <v>1899.801</v>
      </c>
      <c r="D214" s="33">
        <v>4.838</v>
      </c>
    </row>
    <row r="215">
      <c r="A215" s="32">
        <v>1119.0</v>
      </c>
      <c r="B215" s="33">
        <v>-1485.83</v>
      </c>
      <c r="C215" s="33">
        <v>3082.88</v>
      </c>
      <c r="D215" s="33">
        <v>3.814</v>
      </c>
    </row>
    <row r="216">
      <c r="A216" s="32">
        <v>1120.0</v>
      </c>
      <c r="B216" s="33">
        <v>-1489.05</v>
      </c>
      <c r="C216" s="33">
        <v>4285.619</v>
      </c>
      <c r="D216" s="33">
        <v>5.157</v>
      </c>
    </row>
    <row r="217">
      <c r="A217" s="32">
        <v>1121.0</v>
      </c>
      <c r="B217" s="33">
        <v>-1483.479</v>
      </c>
      <c r="C217" s="33">
        <v>5476.815</v>
      </c>
      <c r="D217" s="33">
        <v>12.325</v>
      </c>
    </row>
    <row r="218">
      <c r="A218" s="32">
        <v>1122.0</v>
      </c>
      <c r="B218" s="33">
        <v>-1483.769</v>
      </c>
      <c r="C218" s="33">
        <v>6680.677</v>
      </c>
      <c r="D218" s="33">
        <v>19.264</v>
      </c>
    </row>
    <row r="219">
      <c r="A219" s="32">
        <v>1123.0</v>
      </c>
      <c r="B219" s="33">
        <v>-1473.456</v>
      </c>
      <c r="C219" s="33">
        <v>7888.871</v>
      </c>
      <c r="D219" s="33">
        <v>24.623</v>
      </c>
    </row>
    <row r="220">
      <c r="A220" s="32">
        <v>1124.0</v>
      </c>
      <c r="B220" s="33">
        <v>-1477.973</v>
      </c>
      <c r="C220" s="33">
        <v>9085.869</v>
      </c>
      <c r="D220" s="33">
        <v>38.616</v>
      </c>
    </row>
    <row r="221">
      <c r="A221" s="32">
        <v>1125.0</v>
      </c>
      <c r="B221" s="33">
        <v>-1479.557</v>
      </c>
      <c r="C221" s="33">
        <v>10287.088</v>
      </c>
      <c r="D221" s="33">
        <v>48.696</v>
      </c>
    </row>
    <row r="222">
      <c r="A222" s="32">
        <v>1126.0</v>
      </c>
      <c r="B222" s="33">
        <v>-1466.15</v>
      </c>
      <c r="C222" s="33">
        <v>11483.536</v>
      </c>
      <c r="D222" s="33">
        <v>58.773</v>
      </c>
    </row>
    <row r="223">
      <c r="A223" s="32">
        <v>1127.0</v>
      </c>
      <c r="B223" s="33">
        <v>-1571.122</v>
      </c>
      <c r="C223" s="33">
        <v>12607.722</v>
      </c>
      <c r="D223" s="33">
        <v>69.039</v>
      </c>
    </row>
    <row r="224">
      <c r="A224" s="32">
        <v>1128.0</v>
      </c>
      <c r="B224" s="33">
        <v>-1589.488</v>
      </c>
      <c r="C224" s="33">
        <v>13793.959</v>
      </c>
      <c r="D224" s="33">
        <v>72.624</v>
      </c>
    </row>
    <row r="225">
      <c r="A225" s="32">
        <v>1129.0</v>
      </c>
      <c r="B225" s="33">
        <v>-1667.273</v>
      </c>
      <c r="C225" s="33">
        <v>14959.446</v>
      </c>
      <c r="D225" s="33">
        <v>75.57</v>
      </c>
    </row>
    <row r="226">
      <c r="A226" s="32">
        <v>1130.0</v>
      </c>
      <c r="B226" s="33">
        <v>-1648.753</v>
      </c>
      <c r="C226" s="33">
        <v>16207.539</v>
      </c>
      <c r="D226" s="33">
        <v>79.148</v>
      </c>
    </row>
    <row r="227">
      <c r="A227" s="32">
        <v>1131.0</v>
      </c>
      <c r="B227" s="33">
        <v>-1534.0</v>
      </c>
      <c r="C227" s="33">
        <v>17396.962</v>
      </c>
      <c r="D227" s="33">
        <v>74.936</v>
      </c>
    </row>
    <row r="228">
      <c r="A228" s="32">
        <v>1201.0</v>
      </c>
      <c r="B228" s="33">
        <v>-313.121</v>
      </c>
      <c r="C228" s="33">
        <v>-18529.114</v>
      </c>
      <c r="D228" s="33">
        <v>-28.335</v>
      </c>
    </row>
    <row r="229">
      <c r="A229" s="32">
        <v>1202.0</v>
      </c>
      <c r="B229" s="33">
        <v>-107.702</v>
      </c>
      <c r="C229" s="33">
        <v>-17459.239</v>
      </c>
      <c r="D229" s="33">
        <v>-23.662</v>
      </c>
    </row>
    <row r="230">
      <c r="A230" s="32">
        <v>1203.0</v>
      </c>
      <c r="B230" s="33">
        <v>-312.939</v>
      </c>
      <c r="C230" s="33">
        <v>-16130.617</v>
      </c>
      <c r="D230" s="33">
        <v>-20.792</v>
      </c>
    </row>
    <row r="231">
      <c r="A231" s="32">
        <v>1204.0</v>
      </c>
      <c r="B231" s="33">
        <v>-300.443</v>
      </c>
      <c r="C231" s="33">
        <v>-14928.14</v>
      </c>
      <c r="D231" s="33">
        <v>-19.136</v>
      </c>
    </row>
    <row r="232">
      <c r="A232" s="32">
        <v>1205.0</v>
      </c>
      <c r="B232" s="33">
        <v>-307.485</v>
      </c>
      <c r="C232" s="33">
        <v>-13758.751</v>
      </c>
      <c r="D232" s="33">
        <v>-17.51</v>
      </c>
    </row>
    <row r="233">
      <c r="A233" s="32">
        <v>1206.0</v>
      </c>
      <c r="B233" s="33">
        <v>-302.944</v>
      </c>
      <c r="C233" s="33">
        <v>-12532.623</v>
      </c>
      <c r="D233" s="33">
        <v>-13.457</v>
      </c>
    </row>
    <row r="234">
      <c r="A234" s="32">
        <v>1207.0</v>
      </c>
      <c r="B234" s="33">
        <v>-306.872</v>
      </c>
      <c r="C234" s="33">
        <v>-11330.808</v>
      </c>
      <c r="D234" s="33">
        <v>-10.403</v>
      </c>
    </row>
    <row r="235">
      <c r="A235" s="32">
        <v>1208.0</v>
      </c>
      <c r="B235" s="33">
        <v>-297.494</v>
      </c>
      <c r="C235" s="33">
        <v>-10133.211</v>
      </c>
      <c r="D235" s="33">
        <v>-7.572</v>
      </c>
    </row>
    <row r="236">
      <c r="A236" s="32">
        <v>1209.0</v>
      </c>
      <c r="B236" s="33">
        <v>-302.459</v>
      </c>
      <c r="C236" s="33">
        <v>-8930.946</v>
      </c>
      <c r="D236" s="33">
        <v>-4.641</v>
      </c>
    </row>
    <row r="237">
      <c r="A237" s="32">
        <v>1210.0</v>
      </c>
      <c r="B237" s="33">
        <v>-302.24</v>
      </c>
      <c r="C237" s="33">
        <v>-7731.462</v>
      </c>
      <c r="D237" s="33">
        <v>3.709</v>
      </c>
    </row>
    <row r="238">
      <c r="A238" s="32">
        <v>1211.0</v>
      </c>
      <c r="B238" s="33">
        <v>-296.926</v>
      </c>
      <c r="C238" s="33">
        <v>-6523.19</v>
      </c>
      <c r="D238" s="33">
        <v>2.093</v>
      </c>
    </row>
    <row r="239">
      <c r="A239" s="32">
        <v>1212.0</v>
      </c>
      <c r="B239" s="33">
        <v>-299.384</v>
      </c>
      <c r="C239" s="33">
        <v>-5328.466</v>
      </c>
      <c r="D239" s="33">
        <v>2.286</v>
      </c>
    </row>
    <row r="240">
      <c r="A240" s="32">
        <v>1213.0</v>
      </c>
      <c r="B240" s="33">
        <v>-295.971</v>
      </c>
      <c r="C240" s="33">
        <v>-4122.413</v>
      </c>
      <c r="D240" s="33">
        <v>2.392</v>
      </c>
    </row>
    <row r="241">
      <c r="A241" s="32">
        <v>1214.0</v>
      </c>
      <c r="B241" s="33">
        <v>-290.92</v>
      </c>
      <c r="C241" s="33">
        <v>-2923.356</v>
      </c>
      <c r="D241" s="33">
        <v>6.636</v>
      </c>
    </row>
    <row r="242">
      <c r="A242" s="32">
        <v>1215.0</v>
      </c>
      <c r="B242" s="33">
        <v>-290.098</v>
      </c>
      <c r="C242" s="33">
        <v>-1725.515</v>
      </c>
      <c r="D242" s="33">
        <v>2.963</v>
      </c>
    </row>
    <row r="243">
      <c r="A243" s="32">
        <v>1216.0</v>
      </c>
      <c r="B243" s="33">
        <v>-289.104</v>
      </c>
      <c r="C243" s="33">
        <v>-515.126</v>
      </c>
      <c r="D243" s="33">
        <v>3.067</v>
      </c>
    </row>
    <row r="244">
      <c r="A244" s="32">
        <v>1217.0</v>
      </c>
      <c r="B244" s="33">
        <v>-290.268</v>
      </c>
      <c r="C244" s="33">
        <v>674.057</v>
      </c>
      <c r="D244" s="33">
        <v>2.132</v>
      </c>
    </row>
    <row r="245">
      <c r="A245" s="32">
        <v>1218.0</v>
      </c>
      <c r="B245" s="33">
        <v>-285.91</v>
      </c>
      <c r="C245" s="33">
        <v>1881.119</v>
      </c>
      <c r="D245" s="33">
        <v>2.57</v>
      </c>
    </row>
    <row r="246">
      <c r="A246" s="32">
        <v>1219.0</v>
      </c>
      <c r="B246" s="33">
        <v>-278.966</v>
      </c>
      <c r="C246" s="33">
        <v>3080.744</v>
      </c>
      <c r="D246" s="33">
        <v>1.802</v>
      </c>
    </row>
    <row r="247">
      <c r="A247" s="32">
        <v>1220.0</v>
      </c>
      <c r="B247" s="33">
        <v>-278.923</v>
      </c>
      <c r="C247" s="33">
        <v>4279.371</v>
      </c>
      <c r="D247" s="33">
        <v>0.429</v>
      </c>
    </row>
    <row r="248">
      <c r="A248" s="32">
        <v>1221.0</v>
      </c>
      <c r="B248" s="33">
        <v>-283.967</v>
      </c>
      <c r="C248" s="33">
        <v>5486.775</v>
      </c>
      <c r="D248" s="33">
        <v>2.012</v>
      </c>
    </row>
    <row r="249">
      <c r="A249" s="32">
        <v>1222.0</v>
      </c>
      <c r="B249" s="33">
        <v>-268.838</v>
      </c>
      <c r="C249" s="33">
        <v>6681.638</v>
      </c>
      <c r="D249" s="33">
        <v>7.31</v>
      </c>
    </row>
    <row r="250">
      <c r="A250" s="32">
        <v>1223.0</v>
      </c>
      <c r="B250" s="33">
        <v>-275.692</v>
      </c>
      <c r="C250" s="33">
        <v>7887.833</v>
      </c>
      <c r="D250" s="33">
        <v>12.579</v>
      </c>
    </row>
    <row r="251">
      <c r="A251" s="32">
        <v>1224.0</v>
      </c>
      <c r="B251" s="33">
        <v>-271.513</v>
      </c>
      <c r="C251" s="33">
        <v>9091.153</v>
      </c>
      <c r="D251" s="33">
        <v>23.483</v>
      </c>
    </row>
    <row r="252">
      <c r="A252" s="32">
        <v>1225.0</v>
      </c>
      <c r="B252" s="33">
        <v>-277.159</v>
      </c>
      <c r="C252" s="33">
        <v>10284.26</v>
      </c>
      <c r="D252" s="33">
        <v>31.886</v>
      </c>
    </row>
    <row r="253">
      <c r="A253" s="32">
        <v>1226.0</v>
      </c>
      <c r="B253" s="33">
        <v>-275.824</v>
      </c>
      <c r="C253" s="33">
        <v>11487.258</v>
      </c>
      <c r="D253" s="33">
        <v>41.188</v>
      </c>
    </row>
    <row r="254">
      <c r="A254" s="32">
        <v>1229.0</v>
      </c>
      <c r="B254" s="33">
        <v>-423.131</v>
      </c>
      <c r="C254" s="33">
        <v>15030.195</v>
      </c>
      <c r="D254" s="33">
        <v>56.857</v>
      </c>
    </row>
    <row r="255">
      <c r="A255" s="32">
        <v>1301.0</v>
      </c>
      <c r="B255" s="33">
        <v>872.952</v>
      </c>
      <c r="C255" s="33">
        <v>-18550.507</v>
      </c>
      <c r="D255" s="33">
        <v>-27.119</v>
      </c>
    </row>
    <row r="256">
      <c r="A256" s="32">
        <v>1302.0</v>
      </c>
      <c r="B256" s="33">
        <v>885.966</v>
      </c>
      <c r="C256" s="33">
        <v>-17383.679</v>
      </c>
      <c r="D256" s="33">
        <v>-24.326</v>
      </c>
    </row>
    <row r="257">
      <c r="A257" s="32">
        <v>1303.0</v>
      </c>
      <c r="B257" s="33">
        <v>887.468</v>
      </c>
      <c r="C257" s="33">
        <v>-16137.679</v>
      </c>
      <c r="D257" s="33">
        <v>-21.224</v>
      </c>
    </row>
    <row r="258">
      <c r="A258" s="32">
        <v>1304.0</v>
      </c>
      <c r="B258" s="33">
        <v>890.531</v>
      </c>
      <c r="C258" s="33">
        <v>-14932.428</v>
      </c>
      <c r="D258" s="33">
        <v>-18.121</v>
      </c>
    </row>
    <row r="259">
      <c r="A259" s="32">
        <v>1305.0</v>
      </c>
      <c r="B259" s="33">
        <v>870.516</v>
      </c>
      <c r="C259" s="33">
        <v>-13742.389</v>
      </c>
      <c r="D259" s="33">
        <v>-15.877</v>
      </c>
    </row>
    <row r="260">
      <c r="A260" s="32">
        <v>1306.0</v>
      </c>
      <c r="B260" s="33">
        <v>933.035</v>
      </c>
      <c r="C260" s="33">
        <v>-12523.026</v>
      </c>
      <c r="D260" s="33">
        <v>-12.309</v>
      </c>
    </row>
    <row r="261">
      <c r="A261" s="32">
        <v>1307.0</v>
      </c>
      <c r="B261" s="33">
        <v>931.594</v>
      </c>
      <c r="C261" s="33">
        <v>-11311.325</v>
      </c>
      <c r="D261" s="33">
        <v>-11.029</v>
      </c>
    </row>
    <row r="262">
      <c r="A262" s="32">
        <v>1308.0</v>
      </c>
      <c r="B262" s="33">
        <v>894.218</v>
      </c>
      <c r="C262" s="33">
        <v>-10129.501</v>
      </c>
      <c r="D262" s="33">
        <v>-7.592</v>
      </c>
    </row>
    <row r="263">
      <c r="A263" s="32">
        <v>1309.0</v>
      </c>
      <c r="B263" s="33">
        <v>897.105</v>
      </c>
      <c r="C263" s="33">
        <v>-8936.894</v>
      </c>
      <c r="D263" s="33">
        <v>-6.696</v>
      </c>
    </row>
    <row r="264">
      <c r="A264" s="32">
        <v>1310.0</v>
      </c>
      <c r="B264" s="33">
        <v>897.313</v>
      </c>
      <c r="C264" s="33">
        <v>-7732.295</v>
      </c>
      <c r="D264" s="33">
        <v>-4.428</v>
      </c>
    </row>
    <row r="265">
      <c r="A265" s="32">
        <v>1311.0</v>
      </c>
      <c r="B265" s="33">
        <v>906.156</v>
      </c>
      <c r="C265" s="33">
        <v>-6528.58</v>
      </c>
      <c r="D265" s="33">
        <v>-1.67</v>
      </c>
    </row>
    <row r="266">
      <c r="A266" s="32">
        <v>1312.0</v>
      </c>
      <c r="B266" s="33">
        <v>904.377</v>
      </c>
      <c r="C266" s="33">
        <v>-5333.858</v>
      </c>
      <c r="D266" s="33">
        <v>-0.416</v>
      </c>
    </row>
    <row r="267">
      <c r="A267" s="32">
        <v>1313.0</v>
      </c>
      <c r="B267" s="33">
        <v>902.252</v>
      </c>
      <c r="C267" s="33">
        <v>-4128.695</v>
      </c>
      <c r="D267" s="33">
        <v>0.641</v>
      </c>
    </row>
    <row r="268">
      <c r="A268" s="32">
        <v>1314.0</v>
      </c>
      <c r="B268" s="33">
        <v>909.709</v>
      </c>
      <c r="C268" s="33">
        <v>-2927.415</v>
      </c>
      <c r="D268" s="33">
        <v>0.556</v>
      </c>
    </row>
    <row r="269">
      <c r="A269" s="32">
        <v>1315.0</v>
      </c>
      <c r="B269" s="33">
        <v>908.447</v>
      </c>
      <c r="C269" s="33">
        <v>-1724.801</v>
      </c>
      <c r="D269" s="33">
        <v>0.686</v>
      </c>
    </row>
    <row r="270">
      <c r="A270" s="32">
        <v>1316.0</v>
      </c>
      <c r="B270" s="33">
        <v>910.637</v>
      </c>
      <c r="C270" s="33">
        <v>-522.74</v>
      </c>
      <c r="D270" s="33">
        <v>0.638</v>
      </c>
    </row>
    <row r="271">
      <c r="A271" s="32">
        <v>1317.0</v>
      </c>
      <c r="B271" s="33">
        <v>914.12</v>
      </c>
      <c r="C271" s="33">
        <v>679.213</v>
      </c>
      <c r="D271" s="33">
        <v>1.062</v>
      </c>
    </row>
    <row r="272">
      <c r="A272" s="32">
        <v>1318.0</v>
      </c>
      <c r="B272" s="33">
        <v>914.411</v>
      </c>
      <c r="C272" s="33">
        <v>1877.947</v>
      </c>
      <c r="D272" s="33">
        <v>0.441</v>
      </c>
    </row>
    <row r="273">
      <c r="A273" s="32">
        <v>1319.0</v>
      </c>
      <c r="B273" s="33">
        <v>916.255</v>
      </c>
      <c r="C273" s="33">
        <v>3073.907</v>
      </c>
      <c r="D273" s="33">
        <v>0.746</v>
      </c>
    </row>
    <row r="274">
      <c r="A274" s="32">
        <v>1320.0</v>
      </c>
      <c r="B274" s="33">
        <v>920.682</v>
      </c>
      <c r="C274" s="33">
        <v>4290.413</v>
      </c>
      <c r="D274" s="33">
        <v>-1.139</v>
      </c>
    </row>
    <row r="275">
      <c r="A275" s="32">
        <v>1321.0</v>
      </c>
      <c r="B275" s="33">
        <v>918.386</v>
      </c>
      <c r="C275" s="33">
        <v>5480.267</v>
      </c>
      <c r="D275" s="33">
        <v>-4.132</v>
      </c>
    </row>
    <row r="276">
      <c r="A276" s="32">
        <v>1322.0</v>
      </c>
      <c r="B276" s="33">
        <v>915.572</v>
      </c>
      <c r="C276" s="33">
        <v>6678.79</v>
      </c>
      <c r="D276" s="33">
        <v>-1.767</v>
      </c>
    </row>
    <row r="277">
      <c r="A277" s="32">
        <v>1323.0</v>
      </c>
      <c r="B277" s="33">
        <v>918.879</v>
      </c>
      <c r="C277" s="33">
        <v>7887.87</v>
      </c>
      <c r="D277" s="33">
        <v>2.418</v>
      </c>
    </row>
    <row r="278">
      <c r="A278" s="32">
        <v>1324.0</v>
      </c>
      <c r="B278" s="33">
        <v>931.235</v>
      </c>
      <c r="C278" s="33">
        <v>9082.078</v>
      </c>
      <c r="D278" s="33">
        <v>9.414</v>
      </c>
    </row>
    <row r="279">
      <c r="A279" s="32">
        <v>1325.0</v>
      </c>
      <c r="B279" s="33">
        <v>921.873</v>
      </c>
      <c r="C279" s="33">
        <v>10284.954</v>
      </c>
      <c r="D279" s="33">
        <v>17.975</v>
      </c>
    </row>
    <row r="280">
      <c r="A280" s="32">
        <v>1326.0</v>
      </c>
      <c r="B280" s="33">
        <v>938.618</v>
      </c>
      <c r="C280" s="33">
        <v>11484.389</v>
      </c>
      <c r="D280" s="33">
        <v>22.73</v>
      </c>
    </row>
    <row r="281">
      <c r="A281" s="32">
        <v>1327.0</v>
      </c>
      <c r="B281" s="33">
        <v>1051.77</v>
      </c>
      <c r="C281" s="33">
        <v>12548.479</v>
      </c>
      <c r="D281" s="33">
        <v>30.053</v>
      </c>
    </row>
    <row r="282">
      <c r="A282" s="32">
        <v>1401.0</v>
      </c>
      <c r="B282" s="33">
        <v>2087.046</v>
      </c>
      <c r="C282" s="33">
        <v>-18540.404</v>
      </c>
      <c r="D282" s="33">
        <v>-23.961</v>
      </c>
    </row>
    <row r="283">
      <c r="A283" s="32">
        <v>1402.0</v>
      </c>
      <c r="B283" s="33">
        <v>2088.296</v>
      </c>
      <c r="C283" s="33">
        <v>-17388.12</v>
      </c>
      <c r="D283" s="33">
        <v>-22.618</v>
      </c>
    </row>
    <row r="284">
      <c r="A284" s="32">
        <v>1403.0</v>
      </c>
      <c r="B284" s="33">
        <v>2089.14</v>
      </c>
      <c r="C284" s="33">
        <v>-16013.75</v>
      </c>
      <c r="D284" s="33">
        <v>-20.801</v>
      </c>
    </row>
    <row r="285">
      <c r="A285" s="32">
        <v>1404.0</v>
      </c>
      <c r="B285" s="33">
        <v>2091.394</v>
      </c>
      <c r="C285" s="33">
        <v>-14739.543</v>
      </c>
      <c r="D285" s="33">
        <v>-17.362</v>
      </c>
    </row>
    <row r="286">
      <c r="A286" s="32">
        <v>1405.0</v>
      </c>
      <c r="B286" s="33">
        <v>2070.049</v>
      </c>
      <c r="C286" s="33">
        <v>-13782.142</v>
      </c>
      <c r="D286" s="33">
        <v>-15.009</v>
      </c>
    </row>
    <row r="287">
      <c r="A287" s="32">
        <v>1406.0</v>
      </c>
      <c r="B287" s="33">
        <v>2089.598</v>
      </c>
      <c r="C287" s="33">
        <v>-12539.791</v>
      </c>
      <c r="D287" s="33">
        <v>-12.855</v>
      </c>
    </row>
    <row r="288">
      <c r="A288" s="32">
        <v>1407.0</v>
      </c>
      <c r="B288" s="33">
        <v>2093.856</v>
      </c>
      <c r="C288" s="33">
        <v>-11334.643</v>
      </c>
      <c r="D288" s="33">
        <v>-10.326</v>
      </c>
    </row>
    <row r="289">
      <c r="A289" s="32">
        <v>1408.0</v>
      </c>
      <c r="B289" s="33">
        <v>2122.309</v>
      </c>
      <c r="C289" s="33">
        <v>-10153.915</v>
      </c>
      <c r="D289" s="33">
        <v>-8.121</v>
      </c>
    </row>
    <row r="290">
      <c r="A290" s="32">
        <v>1409.0</v>
      </c>
      <c r="B290" s="33">
        <v>2107.808</v>
      </c>
      <c r="C290" s="33">
        <v>-8919.228</v>
      </c>
      <c r="D290" s="33">
        <v>-6.536</v>
      </c>
    </row>
    <row r="291">
      <c r="A291" s="32">
        <v>1410.0</v>
      </c>
      <c r="B291" s="33">
        <v>2093.849</v>
      </c>
      <c r="C291" s="33">
        <v>-7752.944</v>
      </c>
      <c r="D291" s="33">
        <v>-3.163</v>
      </c>
    </row>
    <row r="292">
      <c r="A292" s="32">
        <v>1411.0</v>
      </c>
      <c r="B292" s="33">
        <v>2100.947</v>
      </c>
      <c r="C292" s="33">
        <v>-6527.46</v>
      </c>
      <c r="D292" s="33">
        <v>-3.78</v>
      </c>
    </row>
    <row r="293">
      <c r="A293" s="32">
        <v>1412.0</v>
      </c>
      <c r="B293" s="33">
        <v>2126.272</v>
      </c>
      <c r="C293" s="33">
        <v>-5344.058</v>
      </c>
      <c r="D293" s="33">
        <v>-2.124</v>
      </c>
    </row>
    <row r="294">
      <c r="A294" s="32">
        <v>1413.0</v>
      </c>
      <c r="B294" s="33">
        <v>2253.582</v>
      </c>
      <c r="C294" s="33">
        <v>-3998.277</v>
      </c>
      <c r="D294" s="33">
        <v>-1.7</v>
      </c>
    </row>
    <row r="295">
      <c r="A295" s="32">
        <v>1414.0</v>
      </c>
      <c r="B295" s="33">
        <v>2106.107</v>
      </c>
      <c r="C295" s="33">
        <v>-2924.629</v>
      </c>
      <c r="D295" s="33">
        <v>-1.205</v>
      </c>
    </row>
    <row r="296">
      <c r="A296" s="32">
        <v>1415.0</v>
      </c>
      <c r="B296" s="33">
        <v>2114.758</v>
      </c>
      <c r="C296" s="33">
        <v>-1723.79</v>
      </c>
      <c r="D296" s="33">
        <v>-1.03</v>
      </c>
    </row>
    <row r="297">
      <c r="A297" s="32">
        <v>1416.0</v>
      </c>
      <c r="B297" s="33">
        <v>2109.776</v>
      </c>
      <c r="C297" s="33">
        <v>-530.503</v>
      </c>
      <c r="D297" s="33">
        <v>-0.987</v>
      </c>
    </row>
    <row r="298">
      <c r="A298" s="32">
        <v>1417.0</v>
      </c>
      <c r="B298" s="33">
        <v>2107.81</v>
      </c>
      <c r="C298" s="33">
        <v>676.334</v>
      </c>
      <c r="D298" s="33">
        <v>-0.83</v>
      </c>
    </row>
    <row r="299">
      <c r="A299" s="32">
        <v>1418.0</v>
      </c>
      <c r="B299" s="33">
        <v>2109.902</v>
      </c>
      <c r="C299" s="33">
        <v>1872.848</v>
      </c>
      <c r="D299" s="33">
        <v>-1.6</v>
      </c>
    </row>
    <row r="300">
      <c r="A300" s="32">
        <v>1419.0</v>
      </c>
      <c r="B300" s="33">
        <v>2101.984</v>
      </c>
      <c r="C300" s="33">
        <v>3087.461</v>
      </c>
      <c r="D300" s="33">
        <v>-2.231</v>
      </c>
    </row>
    <row r="301">
      <c r="A301" s="32">
        <v>1420.0</v>
      </c>
      <c r="B301" s="33">
        <v>2112.181</v>
      </c>
      <c r="C301" s="33">
        <v>4284.979</v>
      </c>
      <c r="D301" s="33">
        <v>-4.158</v>
      </c>
    </row>
    <row r="302">
      <c r="A302" s="32">
        <v>1421.0</v>
      </c>
      <c r="B302" s="33">
        <v>2124.36</v>
      </c>
      <c r="C302" s="33">
        <v>5479.394</v>
      </c>
      <c r="D302" s="33">
        <v>-2.199</v>
      </c>
    </row>
    <row r="303">
      <c r="A303" s="32">
        <v>1422.0</v>
      </c>
      <c r="B303" s="33">
        <v>2122.653</v>
      </c>
      <c r="C303" s="33">
        <v>6681.912</v>
      </c>
      <c r="D303" s="33">
        <v>-2.847</v>
      </c>
    </row>
    <row r="304">
      <c r="A304" s="32">
        <v>1423.0</v>
      </c>
      <c r="B304" s="33">
        <v>2119.222</v>
      </c>
      <c r="C304" s="33">
        <v>7888.21</v>
      </c>
      <c r="D304" s="33">
        <v>-1.707</v>
      </c>
    </row>
    <row r="305">
      <c r="A305" s="32">
        <v>1424.0</v>
      </c>
      <c r="B305" s="33">
        <v>2121.052</v>
      </c>
      <c r="C305" s="33">
        <v>9090.186</v>
      </c>
      <c r="D305" s="33">
        <v>2.458</v>
      </c>
    </row>
    <row r="306">
      <c r="A306" s="32">
        <v>1425.0</v>
      </c>
      <c r="B306" s="33">
        <v>2126.416</v>
      </c>
      <c r="C306" s="33">
        <v>10281.286</v>
      </c>
      <c r="D306" s="33">
        <v>7.493</v>
      </c>
    </row>
    <row r="307">
      <c r="A307" s="32">
        <v>1426.0</v>
      </c>
      <c r="B307" s="33">
        <v>2133.159</v>
      </c>
      <c r="C307" s="33">
        <v>11477.29</v>
      </c>
      <c r="D307" s="33">
        <v>19.536</v>
      </c>
    </row>
    <row r="308">
      <c r="A308" s="32">
        <v>1427.0</v>
      </c>
      <c r="B308" s="33">
        <v>2142.143</v>
      </c>
      <c r="C308" s="33">
        <v>12664.541</v>
      </c>
      <c r="D308" s="33">
        <v>37.48</v>
      </c>
    </row>
    <row r="309">
      <c r="A309" s="32">
        <v>1428.0</v>
      </c>
      <c r="B309" s="33">
        <v>2140.103</v>
      </c>
      <c r="C309" s="33">
        <v>13859.382</v>
      </c>
      <c r="D309" s="33">
        <v>69.761</v>
      </c>
    </row>
    <row r="310">
      <c r="A310" s="32">
        <v>1501.0</v>
      </c>
      <c r="B310" s="33">
        <v>3288.949</v>
      </c>
      <c r="C310" s="33">
        <v>-18542.552</v>
      </c>
      <c r="D310" s="33">
        <v>-22.223</v>
      </c>
    </row>
    <row r="311">
      <c r="A311" s="32">
        <v>1502.0</v>
      </c>
      <c r="B311" s="33">
        <v>3283.947</v>
      </c>
      <c r="C311" s="33">
        <v>-17341.403</v>
      </c>
      <c r="D311" s="33">
        <v>-23.693</v>
      </c>
    </row>
    <row r="312">
      <c r="A312" s="32">
        <v>1503.0</v>
      </c>
      <c r="B312" s="33">
        <v>3163.301</v>
      </c>
      <c r="C312" s="33">
        <v>-16231.587</v>
      </c>
      <c r="D312" s="33">
        <v>-21.984</v>
      </c>
    </row>
    <row r="313">
      <c r="A313" s="32">
        <v>1504.0</v>
      </c>
      <c r="B313" s="33">
        <v>3317.613</v>
      </c>
      <c r="C313" s="33">
        <v>-14953.876</v>
      </c>
      <c r="D313" s="33">
        <v>-17.491</v>
      </c>
    </row>
    <row r="314">
      <c r="A314" s="32">
        <v>1505.0</v>
      </c>
      <c r="B314" s="33">
        <v>3311.824</v>
      </c>
      <c r="C314" s="33">
        <v>-13734.411</v>
      </c>
      <c r="D314" s="33">
        <v>-15.079</v>
      </c>
    </row>
    <row r="315">
      <c r="A315" s="32">
        <v>1506.0</v>
      </c>
      <c r="B315" s="33">
        <v>3294.032</v>
      </c>
      <c r="C315" s="33">
        <v>-12533.269</v>
      </c>
      <c r="D315" s="33">
        <v>-13.46</v>
      </c>
    </row>
    <row r="316">
      <c r="A316" s="32">
        <v>1507.0</v>
      </c>
      <c r="B316" s="33">
        <v>3297.33</v>
      </c>
      <c r="C316" s="33">
        <v>-11333.562</v>
      </c>
      <c r="D316" s="33">
        <v>-10.981</v>
      </c>
    </row>
    <row r="317">
      <c r="A317" s="32">
        <v>1508.0</v>
      </c>
      <c r="B317" s="33">
        <v>3287.663</v>
      </c>
      <c r="C317" s="33">
        <v>-10122.974</v>
      </c>
      <c r="D317" s="33">
        <v>-8.865</v>
      </c>
    </row>
    <row r="318">
      <c r="A318" s="32">
        <v>1509.0</v>
      </c>
      <c r="B318" s="33">
        <v>3331.062</v>
      </c>
      <c r="C318" s="33">
        <v>-8974.991</v>
      </c>
      <c r="D318" s="33">
        <v>-6.695</v>
      </c>
    </row>
    <row r="319">
      <c r="A319" s="32">
        <v>1510.0</v>
      </c>
      <c r="B319" s="33">
        <v>3300.133</v>
      </c>
      <c r="C319" s="33">
        <v>-7736.423</v>
      </c>
      <c r="D319" s="33">
        <v>-6.382</v>
      </c>
    </row>
    <row r="320">
      <c r="A320" s="32">
        <v>1511.0</v>
      </c>
      <c r="B320" s="33">
        <v>3305.155</v>
      </c>
      <c r="C320" s="33">
        <v>-6537.038</v>
      </c>
      <c r="D320" s="33">
        <v>-3.969</v>
      </c>
    </row>
    <row r="321">
      <c r="A321" s="32">
        <v>1512.0</v>
      </c>
      <c r="B321" s="33">
        <v>3306.804</v>
      </c>
      <c r="C321" s="33">
        <v>-5332.986</v>
      </c>
      <c r="D321" s="33">
        <v>-3.537</v>
      </c>
    </row>
    <row r="322">
      <c r="A322" s="32">
        <v>1513.0</v>
      </c>
      <c r="B322" s="33">
        <v>3242.834</v>
      </c>
      <c r="C322" s="33">
        <v>-4104.086</v>
      </c>
      <c r="D322" s="33">
        <v>-3.123</v>
      </c>
    </row>
    <row r="323">
      <c r="A323" s="32">
        <v>1514.0</v>
      </c>
      <c r="B323" s="33">
        <v>3306.391</v>
      </c>
      <c r="C323" s="33">
        <v>-2930.098</v>
      </c>
      <c r="D323" s="33">
        <v>-2.616</v>
      </c>
    </row>
    <row r="324">
      <c r="A324" s="32">
        <v>1515.0</v>
      </c>
      <c r="B324" s="33">
        <v>3327.719</v>
      </c>
      <c r="C324" s="33">
        <v>-1730.696</v>
      </c>
      <c r="D324" s="33">
        <v>-0.448</v>
      </c>
    </row>
    <row r="325">
      <c r="A325" s="32">
        <v>1516.0</v>
      </c>
      <c r="B325" s="33">
        <v>3314.435</v>
      </c>
      <c r="C325" s="33">
        <v>-526.531</v>
      </c>
      <c r="D325" s="33">
        <v>-1.268</v>
      </c>
    </row>
    <row r="326">
      <c r="A326" s="32">
        <v>1517.0</v>
      </c>
      <c r="B326" s="33">
        <v>3320.392</v>
      </c>
      <c r="C326" s="33">
        <v>681.975</v>
      </c>
      <c r="D326" s="33">
        <v>-1.825</v>
      </c>
    </row>
    <row r="327">
      <c r="A327" s="32">
        <v>1518.0</v>
      </c>
      <c r="B327" s="33">
        <v>3321.524</v>
      </c>
      <c r="C327" s="33">
        <v>1873.825</v>
      </c>
      <c r="D327" s="33">
        <v>-1.865</v>
      </c>
    </row>
    <row r="328">
      <c r="A328" s="32">
        <v>1519.0</v>
      </c>
      <c r="B328" s="33">
        <v>3045.281</v>
      </c>
      <c r="C328" s="33">
        <v>3068.228</v>
      </c>
      <c r="D328" s="33">
        <v>-2.512</v>
      </c>
    </row>
    <row r="329">
      <c r="A329" s="32">
        <v>1520.0</v>
      </c>
      <c r="B329" s="33">
        <v>3325.159</v>
      </c>
      <c r="C329" s="33">
        <v>4273.077</v>
      </c>
      <c r="D329" s="33">
        <v>-2.526</v>
      </c>
    </row>
    <row r="330">
      <c r="A330" s="32">
        <v>1521.0</v>
      </c>
      <c r="B330" s="33">
        <v>3315.602</v>
      </c>
      <c r="C330" s="33">
        <v>5454.713</v>
      </c>
      <c r="D330" s="33">
        <v>-2.615</v>
      </c>
    </row>
    <row r="331">
      <c r="A331" s="32">
        <v>1522.0</v>
      </c>
      <c r="B331" s="33">
        <v>3332.757</v>
      </c>
      <c r="C331" s="33">
        <v>6671.788</v>
      </c>
      <c r="D331" s="33">
        <v>-1.733</v>
      </c>
    </row>
    <row r="332">
      <c r="A332" s="32">
        <v>1523.0</v>
      </c>
      <c r="B332" s="33">
        <v>3322.761</v>
      </c>
      <c r="C332" s="33">
        <v>7878.749</v>
      </c>
      <c r="D332" s="33">
        <v>-0.618</v>
      </c>
    </row>
    <row r="333">
      <c r="A333" s="32">
        <v>1524.0</v>
      </c>
      <c r="B333" s="33">
        <v>3306.661</v>
      </c>
      <c r="C333" s="33">
        <v>9057.617</v>
      </c>
      <c r="D333" s="33">
        <v>1.391</v>
      </c>
    </row>
    <row r="334">
      <c r="A334" s="32">
        <v>1525.0</v>
      </c>
      <c r="B334" s="33">
        <v>3320.706</v>
      </c>
      <c r="C334" s="33">
        <v>10281.589</v>
      </c>
      <c r="D334" s="33">
        <v>5.093</v>
      </c>
    </row>
    <row r="335">
      <c r="A335" s="32">
        <v>1526.0</v>
      </c>
      <c r="B335" s="33">
        <v>3333.384</v>
      </c>
      <c r="C335" s="33">
        <v>11472.702</v>
      </c>
      <c r="D335" s="33">
        <v>12.411</v>
      </c>
    </row>
    <row r="336">
      <c r="A336" s="32">
        <v>1527.0</v>
      </c>
      <c r="B336" s="33">
        <v>3326.429</v>
      </c>
      <c r="C336" s="33">
        <v>12685.654</v>
      </c>
      <c r="D336" s="33">
        <v>58.252</v>
      </c>
    </row>
    <row r="337">
      <c r="A337" s="32">
        <v>1528.0</v>
      </c>
      <c r="B337" s="33">
        <v>3331.177</v>
      </c>
      <c r="C337" s="33">
        <v>13874.556</v>
      </c>
      <c r="D337" s="33">
        <v>62.968</v>
      </c>
    </row>
    <row r="338">
      <c r="A338" s="32">
        <v>1601.0</v>
      </c>
      <c r="B338" s="33">
        <v>4485.488</v>
      </c>
      <c r="C338" s="33">
        <v>-18544.397</v>
      </c>
      <c r="D338" s="33">
        <v>-24.027</v>
      </c>
    </row>
    <row r="339">
      <c r="A339" s="32">
        <v>1602.0</v>
      </c>
      <c r="B339" s="33">
        <v>4488.085</v>
      </c>
      <c r="C339" s="33">
        <v>-17340.587</v>
      </c>
      <c r="D339" s="33">
        <v>-23.084</v>
      </c>
    </row>
    <row r="340">
      <c r="A340" s="32">
        <v>1603.0</v>
      </c>
      <c r="B340" s="33">
        <v>4490.857</v>
      </c>
      <c r="C340" s="33">
        <v>-16142.328</v>
      </c>
      <c r="D340" s="33">
        <v>-21.622</v>
      </c>
    </row>
    <row r="341">
      <c r="A341" s="32">
        <v>1604.0</v>
      </c>
      <c r="B341" s="33">
        <v>4493.71</v>
      </c>
      <c r="C341" s="33">
        <v>-14934.523</v>
      </c>
      <c r="D341" s="33">
        <v>-17.915</v>
      </c>
    </row>
    <row r="342">
      <c r="A342" s="32">
        <v>1605.0</v>
      </c>
      <c r="B342" s="33">
        <v>4492.073</v>
      </c>
      <c r="C342" s="33">
        <v>-13739.482</v>
      </c>
      <c r="D342" s="33">
        <v>-17.531</v>
      </c>
    </row>
    <row r="343">
      <c r="A343" s="32">
        <v>1606.0</v>
      </c>
      <c r="B343" s="33">
        <v>4495.533</v>
      </c>
      <c r="C343" s="33">
        <v>-12537.336</v>
      </c>
      <c r="D343" s="33">
        <v>-13.521</v>
      </c>
    </row>
    <row r="344">
      <c r="A344" s="32">
        <v>1607.0</v>
      </c>
      <c r="B344" s="33">
        <v>4497.525</v>
      </c>
      <c r="C344" s="33">
        <v>-11339.739</v>
      </c>
      <c r="D344" s="33">
        <v>-10.715</v>
      </c>
    </row>
    <row r="345">
      <c r="A345" s="32">
        <v>1608.0</v>
      </c>
      <c r="B345" s="33">
        <v>4495.019</v>
      </c>
      <c r="C345" s="33">
        <v>-10135.255</v>
      </c>
      <c r="D345" s="33">
        <v>-9.09</v>
      </c>
    </row>
    <row r="346">
      <c r="A346" s="32">
        <v>1609.0</v>
      </c>
      <c r="B346" s="33">
        <v>4498.826</v>
      </c>
      <c r="C346" s="33">
        <v>-8941.537</v>
      </c>
      <c r="D346" s="33">
        <v>-7.383</v>
      </c>
    </row>
    <row r="347">
      <c r="A347" s="32">
        <v>1610.0</v>
      </c>
      <c r="B347" s="33">
        <v>4350.355</v>
      </c>
      <c r="C347" s="33">
        <v>-7727.917</v>
      </c>
      <c r="D347" s="33">
        <v>-3.871</v>
      </c>
    </row>
    <row r="348">
      <c r="A348" s="32">
        <v>1611.0</v>
      </c>
      <c r="B348" s="33">
        <v>4483.818</v>
      </c>
      <c r="C348" s="33">
        <v>-6566.989</v>
      </c>
      <c r="D348" s="33">
        <v>-2.799</v>
      </c>
    </row>
    <row r="349">
      <c r="A349" s="32">
        <v>1612.0</v>
      </c>
      <c r="B349" s="33">
        <v>4503.056</v>
      </c>
      <c r="C349" s="33">
        <v>-5336.276</v>
      </c>
      <c r="D349" s="33">
        <v>-3.331</v>
      </c>
    </row>
    <row r="350">
      <c r="A350" s="32">
        <v>1613.0</v>
      </c>
      <c r="B350" s="33">
        <v>4505.147</v>
      </c>
      <c r="C350" s="33">
        <v>-4322.551</v>
      </c>
      <c r="D350" s="33">
        <v>-4.143</v>
      </c>
    </row>
    <row r="351">
      <c r="A351" s="32">
        <v>1614.0</v>
      </c>
      <c r="B351" s="33">
        <v>4505.382</v>
      </c>
      <c r="C351" s="33">
        <v>-2932.497</v>
      </c>
      <c r="D351" s="33">
        <v>-2.481</v>
      </c>
    </row>
    <row r="352">
      <c r="A352" s="32">
        <v>1615.0</v>
      </c>
      <c r="B352" s="33">
        <v>4513.233</v>
      </c>
      <c r="C352" s="33">
        <v>-1731.544</v>
      </c>
      <c r="D352" s="33">
        <v>-3.006</v>
      </c>
    </row>
    <row r="353">
      <c r="A353" s="32">
        <v>1616.0</v>
      </c>
      <c r="B353" s="33">
        <v>4511.933</v>
      </c>
      <c r="C353" s="33">
        <v>-527.485</v>
      </c>
      <c r="D353" s="33">
        <v>-2.671</v>
      </c>
    </row>
    <row r="354">
      <c r="A354" s="32">
        <v>1617.0</v>
      </c>
      <c r="B354" s="33">
        <v>4522.46</v>
      </c>
      <c r="C354" s="33">
        <v>663.479</v>
      </c>
      <c r="D354" s="33">
        <v>-2.511</v>
      </c>
    </row>
    <row r="355">
      <c r="A355" s="32">
        <v>1618.0</v>
      </c>
      <c r="B355" s="33">
        <v>4513.561</v>
      </c>
      <c r="C355" s="33">
        <v>1880.309</v>
      </c>
      <c r="D355" s="33">
        <v>-1.738</v>
      </c>
    </row>
    <row r="356">
      <c r="A356" s="32">
        <v>1619.0</v>
      </c>
      <c r="B356" s="33">
        <v>4511.216</v>
      </c>
      <c r="C356" s="33">
        <v>3398.633</v>
      </c>
      <c r="D356" s="33">
        <v>-2.747</v>
      </c>
    </row>
    <row r="357">
      <c r="A357" s="32">
        <v>1620.0</v>
      </c>
      <c r="B357" s="33">
        <v>4514.515</v>
      </c>
      <c r="C357" s="33">
        <v>4257.686</v>
      </c>
      <c r="D357" s="33">
        <v>-0.946</v>
      </c>
    </row>
    <row r="358">
      <c r="A358" s="32">
        <v>1621.0</v>
      </c>
      <c r="B358" s="33">
        <v>4517.522</v>
      </c>
      <c r="C358" s="33">
        <v>5467.978</v>
      </c>
      <c r="D358" s="33">
        <v>-0.643</v>
      </c>
    </row>
    <row r="359">
      <c r="A359" s="32">
        <v>1622.0</v>
      </c>
      <c r="B359" s="33">
        <v>4523.644</v>
      </c>
      <c r="C359" s="33">
        <v>6951.446</v>
      </c>
      <c r="D359" s="33">
        <v>-3.285</v>
      </c>
    </row>
    <row r="360">
      <c r="A360" s="32">
        <v>1623.0</v>
      </c>
      <c r="B360" s="33">
        <v>4529.227</v>
      </c>
      <c r="C360" s="33">
        <v>7877.689</v>
      </c>
      <c r="D360" s="33">
        <v>-2.089</v>
      </c>
    </row>
    <row r="361">
      <c r="A361" s="32">
        <v>1624.0</v>
      </c>
      <c r="B361" s="33">
        <v>4524.133</v>
      </c>
      <c r="C361" s="33">
        <v>9081.546</v>
      </c>
      <c r="D361" s="33">
        <v>-0.829</v>
      </c>
    </row>
    <row r="362">
      <c r="A362" s="32">
        <v>1625.0</v>
      </c>
      <c r="B362" s="33">
        <v>4525.34</v>
      </c>
      <c r="C362" s="33">
        <v>10273.642</v>
      </c>
      <c r="D362" s="33">
        <v>2.587</v>
      </c>
    </row>
    <row r="363">
      <c r="A363" s="32">
        <v>1626.0</v>
      </c>
      <c r="B363" s="33">
        <v>4526.884</v>
      </c>
      <c r="C363" s="33">
        <v>11481.074</v>
      </c>
      <c r="D363" s="33">
        <v>9.741</v>
      </c>
    </row>
    <row r="364">
      <c r="A364" s="32">
        <v>1627.0</v>
      </c>
      <c r="B364" s="33">
        <v>4471.344</v>
      </c>
      <c r="C364" s="33">
        <v>12659.641</v>
      </c>
      <c r="D364" s="33">
        <v>34.565</v>
      </c>
    </row>
    <row r="365">
      <c r="A365" s="32">
        <v>1628.0</v>
      </c>
      <c r="B365" s="33">
        <v>4270.635</v>
      </c>
      <c r="C365" s="33">
        <v>13771.149</v>
      </c>
      <c r="D365" s="33">
        <v>46.643</v>
      </c>
    </row>
    <row r="366">
      <c r="A366" s="32">
        <v>1701.0</v>
      </c>
      <c r="B366" s="33">
        <v>5686.7</v>
      </c>
      <c r="C366" s="33">
        <v>-18547.391</v>
      </c>
      <c r="D366" s="33">
        <v>-25.142</v>
      </c>
    </row>
    <row r="367">
      <c r="A367" s="32">
        <v>1702.0</v>
      </c>
      <c r="B367" s="33">
        <v>5689.631</v>
      </c>
      <c r="C367" s="33">
        <v>-17344.359</v>
      </c>
      <c r="D367" s="33">
        <v>-23.641</v>
      </c>
    </row>
    <row r="368">
      <c r="A368" s="32">
        <v>1703.0</v>
      </c>
      <c r="B368" s="33">
        <v>5686.51</v>
      </c>
      <c r="C368" s="33">
        <v>-16140.886</v>
      </c>
      <c r="D368" s="33">
        <v>-21.871</v>
      </c>
    </row>
    <row r="369">
      <c r="A369" s="32">
        <v>1704.0</v>
      </c>
      <c r="B369" s="33">
        <v>5693.676</v>
      </c>
      <c r="C369" s="33">
        <v>-14938.069</v>
      </c>
      <c r="D369" s="33">
        <v>-20.34</v>
      </c>
    </row>
    <row r="370">
      <c r="A370" s="32">
        <v>1705.0</v>
      </c>
      <c r="B370" s="33">
        <v>5688.396</v>
      </c>
      <c r="C370" s="33">
        <v>-13736.485</v>
      </c>
      <c r="D370" s="33">
        <v>-17.167</v>
      </c>
    </row>
    <row r="371">
      <c r="A371" s="32">
        <v>1706.0</v>
      </c>
      <c r="B371" s="33">
        <v>5692.459</v>
      </c>
      <c r="C371" s="33">
        <v>-12546.883</v>
      </c>
      <c r="D371" s="33">
        <v>-14.534</v>
      </c>
    </row>
    <row r="372">
      <c r="A372" s="32">
        <v>1707.0</v>
      </c>
      <c r="B372" s="33">
        <v>5699.1</v>
      </c>
      <c r="C372" s="33">
        <v>-11339.068</v>
      </c>
      <c r="D372" s="33">
        <v>-10.703</v>
      </c>
    </row>
    <row r="373">
      <c r="A373" s="32">
        <v>1708.0</v>
      </c>
      <c r="B373" s="33">
        <v>5697.19</v>
      </c>
      <c r="C373" s="33">
        <v>-10139.913</v>
      </c>
      <c r="D373" s="33">
        <v>-9.547</v>
      </c>
    </row>
    <row r="374">
      <c r="A374" s="32">
        <v>1709.0</v>
      </c>
      <c r="B374" s="33">
        <v>5708.152</v>
      </c>
      <c r="C374" s="33">
        <v>-8939.417</v>
      </c>
      <c r="D374" s="33">
        <v>-6.836</v>
      </c>
    </row>
    <row r="375">
      <c r="A375" s="32">
        <v>1710.0</v>
      </c>
      <c r="B375" s="33">
        <v>5682.91</v>
      </c>
      <c r="C375" s="33">
        <v>-7725.949</v>
      </c>
      <c r="D375" s="33">
        <v>-6.735</v>
      </c>
    </row>
    <row r="376">
      <c r="A376" s="32">
        <v>1711.0</v>
      </c>
      <c r="B376" s="33">
        <v>5746.744</v>
      </c>
      <c r="C376" s="33">
        <v>-6560.166</v>
      </c>
      <c r="D376" s="33">
        <v>-3.753</v>
      </c>
    </row>
    <row r="377">
      <c r="A377" s="32">
        <v>1712.0</v>
      </c>
      <c r="B377" s="33">
        <v>5711.307</v>
      </c>
      <c r="C377" s="33">
        <v>-5337.151</v>
      </c>
      <c r="D377" s="33">
        <v>-4.658</v>
      </c>
    </row>
    <row r="378">
      <c r="A378" s="32">
        <v>1713.0</v>
      </c>
      <c r="B378" s="33">
        <v>5863.22</v>
      </c>
      <c r="C378" s="33">
        <v>-4009.948</v>
      </c>
      <c r="D378" s="33">
        <v>-4.7</v>
      </c>
    </row>
    <row r="379">
      <c r="A379" s="32">
        <v>1714.0</v>
      </c>
      <c r="B379" s="33">
        <v>5709.808</v>
      </c>
      <c r="C379" s="33">
        <v>-2931.376</v>
      </c>
      <c r="D379" s="33">
        <v>-3.783</v>
      </c>
    </row>
    <row r="380">
      <c r="A380" s="32">
        <v>1715.0</v>
      </c>
      <c r="B380" s="33">
        <v>5715.573</v>
      </c>
      <c r="C380" s="33">
        <v>-1725.427</v>
      </c>
      <c r="D380" s="33">
        <v>-2.237</v>
      </c>
    </row>
    <row r="381">
      <c r="A381" s="32">
        <v>1716.0</v>
      </c>
      <c r="B381" s="33">
        <v>5717.977</v>
      </c>
      <c r="C381" s="33">
        <v>-530.582</v>
      </c>
      <c r="D381" s="33">
        <v>-2.517</v>
      </c>
    </row>
    <row r="382">
      <c r="A382" s="32">
        <v>1717.0</v>
      </c>
      <c r="B382" s="33">
        <v>5715.113</v>
      </c>
      <c r="C382" s="33">
        <v>670.591</v>
      </c>
      <c r="D382" s="33">
        <v>-2.168</v>
      </c>
    </row>
    <row r="383">
      <c r="A383" s="32">
        <v>1718.0</v>
      </c>
      <c r="B383" s="33">
        <v>5717.512</v>
      </c>
      <c r="C383" s="33">
        <v>1871.993</v>
      </c>
      <c r="D383" s="33">
        <v>-1.03</v>
      </c>
    </row>
    <row r="384">
      <c r="A384" s="32">
        <v>1719.0</v>
      </c>
      <c r="B384" s="33">
        <v>5726.215</v>
      </c>
      <c r="C384" s="33">
        <v>3059.52</v>
      </c>
      <c r="D384" s="33">
        <v>-1.678</v>
      </c>
    </row>
    <row r="385">
      <c r="A385" s="32">
        <v>1720.0</v>
      </c>
      <c r="B385" s="33">
        <v>5724.634</v>
      </c>
      <c r="C385" s="33">
        <v>4273.915</v>
      </c>
      <c r="D385" s="33">
        <v>-1.917</v>
      </c>
    </row>
    <row r="386">
      <c r="A386" s="32">
        <v>1721.0</v>
      </c>
      <c r="B386" s="33">
        <v>5721.253</v>
      </c>
      <c r="C386" s="33">
        <v>5471.321</v>
      </c>
      <c r="D386" s="33">
        <v>-3.011</v>
      </c>
    </row>
    <row r="387">
      <c r="A387" s="32">
        <v>1722.0</v>
      </c>
      <c r="B387" s="33">
        <v>5721.663</v>
      </c>
      <c r="C387" s="33">
        <v>6675.173</v>
      </c>
      <c r="D387" s="33">
        <v>-3.95</v>
      </c>
    </row>
    <row r="388">
      <c r="A388" s="32">
        <v>1723.0</v>
      </c>
      <c r="B388" s="33">
        <v>5721.735</v>
      </c>
      <c r="C388" s="33">
        <v>7868.922</v>
      </c>
      <c r="D388" s="33">
        <v>-3.694</v>
      </c>
    </row>
    <row r="389">
      <c r="A389" s="32">
        <v>1724.0</v>
      </c>
      <c r="B389" s="33">
        <v>5705.685</v>
      </c>
      <c r="C389" s="33">
        <v>9075.438</v>
      </c>
      <c r="D389" s="33">
        <v>-0.697</v>
      </c>
    </row>
    <row r="390">
      <c r="A390" s="32">
        <v>1725.0</v>
      </c>
      <c r="B390" s="33">
        <v>5728.342</v>
      </c>
      <c r="C390" s="33">
        <v>10263.107</v>
      </c>
      <c r="D390" s="33">
        <v>1.998</v>
      </c>
    </row>
    <row r="391">
      <c r="A391" s="32">
        <v>1726.0</v>
      </c>
      <c r="B391" s="33">
        <v>5734.0</v>
      </c>
      <c r="C391" s="33">
        <v>11474.417</v>
      </c>
      <c r="D391" s="33">
        <v>2.904</v>
      </c>
    </row>
    <row r="392">
      <c r="A392" s="32">
        <v>1727.0</v>
      </c>
      <c r="B392" s="33">
        <v>5734.756</v>
      </c>
      <c r="C392" s="33">
        <v>12673.179</v>
      </c>
      <c r="D392" s="33">
        <v>3.848</v>
      </c>
    </row>
    <row r="393">
      <c r="A393" s="32">
        <v>1728.0</v>
      </c>
      <c r="B393" s="33">
        <v>5729.833</v>
      </c>
      <c r="C393" s="33">
        <v>13873.29</v>
      </c>
      <c r="D393" s="33">
        <v>12.469</v>
      </c>
    </row>
    <row r="394">
      <c r="A394" s="32">
        <v>1801.0</v>
      </c>
      <c r="B394" s="33">
        <v>6890.502</v>
      </c>
      <c r="C394" s="33">
        <v>-18545.312</v>
      </c>
      <c r="D394" s="33">
        <v>-26.631</v>
      </c>
    </row>
    <row r="395">
      <c r="A395" s="32">
        <v>1802.0</v>
      </c>
      <c r="B395" s="33">
        <v>6890.744</v>
      </c>
      <c r="C395" s="33">
        <v>-17345.281</v>
      </c>
      <c r="D395" s="33">
        <v>-24.816</v>
      </c>
    </row>
    <row r="396">
      <c r="A396" s="32">
        <v>1803.0</v>
      </c>
      <c r="B396" s="33">
        <v>6889.69</v>
      </c>
      <c r="C396" s="33">
        <v>-16144.807</v>
      </c>
      <c r="D396" s="33">
        <v>-22.166</v>
      </c>
    </row>
    <row r="397">
      <c r="A397" s="32">
        <v>1804.0</v>
      </c>
      <c r="B397" s="33">
        <v>6892.084</v>
      </c>
      <c r="C397" s="33">
        <v>-14938.655</v>
      </c>
      <c r="D397" s="33">
        <v>-23.212</v>
      </c>
    </row>
    <row r="398">
      <c r="A398" s="32">
        <v>1805.0</v>
      </c>
      <c r="B398" s="33">
        <v>6892.768</v>
      </c>
      <c r="C398" s="33">
        <v>-13747.73</v>
      </c>
      <c r="D398" s="33">
        <v>-18.428</v>
      </c>
    </row>
    <row r="399">
      <c r="A399" s="32">
        <v>1806.0</v>
      </c>
      <c r="B399" s="33">
        <v>7272.474</v>
      </c>
      <c r="C399" s="33">
        <v>-12821.4</v>
      </c>
      <c r="D399" s="33">
        <v>-17.834</v>
      </c>
    </row>
    <row r="400">
      <c r="A400" s="32">
        <v>1807.0</v>
      </c>
      <c r="B400" s="33">
        <v>6891.513</v>
      </c>
      <c r="C400" s="33">
        <v>-11335.887</v>
      </c>
      <c r="D400" s="33">
        <v>-11.852</v>
      </c>
    </row>
    <row r="401">
      <c r="A401" s="32">
        <v>1808.0</v>
      </c>
      <c r="B401" s="33">
        <v>6904.024</v>
      </c>
      <c r="C401" s="33">
        <v>-10140.383</v>
      </c>
      <c r="D401" s="33">
        <v>-10.928</v>
      </c>
    </row>
    <row r="402">
      <c r="A402" s="32">
        <v>1809.0</v>
      </c>
      <c r="B402" s="33">
        <v>6908.412</v>
      </c>
      <c r="C402" s="33">
        <v>-8944.11</v>
      </c>
      <c r="D402" s="33">
        <v>-8.628</v>
      </c>
    </row>
    <row r="403">
      <c r="A403" s="32">
        <v>1810.0</v>
      </c>
      <c r="B403" s="33">
        <v>6905.107</v>
      </c>
      <c r="C403" s="33">
        <v>-7742.733</v>
      </c>
      <c r="D403" s="33">
        <v>-6.349</v>
      </c>
    </row>
    <row r="404">
      <c r="A404" s="32">
        <v>1811.0</v>
      </c>
      <c r="B404" s="33">
        <v>6902.917</v>
      </c>
      <c r="C404" s="33">
        <v>-6534.799</v>
      </c>
      <c r="D404" s="33">
        <v>-6.042</v>
      </c>
    </row>
    <row r="405">
      <c r="A405" s="32">
        <v>1812.0</v>
      </c>
      <c r="B405" s="33">
        <v>6693.376</v>
      </c>
      <c r="C405" s="33">
        <v>-5067.756</v>
      </c>
      <c r="D405" s="33">
        <v>-4.271</v>
      </c>
    </row>
    <row r="406">
      <c r="A406" s="32">
        <v>1813.0</v>
      </c>
      <c r="B406" s="33">
        <v>6913.46</v>
      </c>
      <c r="C406" s="33">
        <v>-4103.033</v>
      </c>
      <c r="D406" s="33">
        <v>-4.55</v>
      </c>
    </row>
    <row r="407">
      <c r="A407" s="32">
        <v>1814.0</v>
      </c>
      <c r="B407" s="33">
        <v>6910.703</v>
      </c>
      <c r="C407" s="33">
        <v>-2938.401</v>
      </c>
      <c r="D407" s="33">
        <v>-3.883</v>
      </c>
    </row>
    <row r="408">
      <c r="A408" s="32">
        <v>1815.0</v>
      </c>
      <c r="B408" s="33">
        <v>6916.971</v>
      </c>
      <c r="C408" s="33">
        <v>-1730.673</v>
      </c>
      <c r="D408" s="33">
        <v>-3.406</v>
      </c>
    </row>
    <row r="409">
      <c r="A409" s="32">
        <v>1816.0</v>
      </c>
      <c r="B409" s="33">
        <v>6911.775</v>
      </c>
      <c r="C409" s="33">
        <v>-539.721</v>
      </c>
      <c r="D409" s="33">
        <v>-2.208</v>
      </c>
    </row>
    <row r="410">
      <c r="A410" s="32">
        <v>1817.0</v>
      </c>
      <c r="B410" s="33">
        <v>6912.092</v>
      </c>
      <c r="C410" s="33">
        <v>663.009</v>
      </c>
      <c r="D410" s="33">
        <v>-0.99</v>
      </c>
    </row>
    <row r="411">
      <c r="A411" s="32">
        <v>1818.0</v>
      </c>
      <c r="B411" s="33">
        <v>6920.596</v>
      </c>
      <c r="C411" s="33">
        <v>1871.635</v>
      </c>
      <c r="D411" s="33">
        <v>-1.62</v>
      </c>
    </row>
    <row r="412">
      <c r="A412" s="32">
        <v>1819.0</v>
      </c>
      <c r="B412" s="33">
        <v>6920.568</v>
      </c>
      <c r="C412" s="33">
        <v>3069.594</v>
      </c>
      <c r="D412" s="33">
        <v>-2.155</v>
      </c>
    </row>
    <row r="413">
      <c r="A413" s="32">
        <v>1820.0</v>
      </c>
      <c r="B413" s="33">
        <v>6919.074</v>
      </c>
      <c r="C413" s="33">
        <v>4267.333</v>
      </c>
      <c r="D413" s="33">
        <v>-2.284</v>
      </c>
    </row>
    <row r="414">
      <c r="A414" s="32">
        <v>1821.0</v>
      </c>
      <c r="B414" s="33">
        <v>6831.783</v>
      </c>
      <c r="C414" s="33">
        <v>5569.602</v>
      </c>
      <c r="D414" s="33">
        <v>-3.987</v>
      </c>
    </row>
    <row r="415">
      <c r="A415" s="32">
        <v>1822.0</v>
      </c>
      <c r="B415" s="33">
        <v>6906.47</v>
      </c>
      <c r="C415" s="33">
        <v>6616.945</v>
      </c>
      <c r="D415" s="33">
        <v>-4.65</v>
      </c>
    </row>
    <row r="416">
      <c r="A416" s="32">
        <v>1823.0</v>
      </c>
      <c r="B416" s="33">
        <v>6918.502</v>
      </c>
      <c r="C416" s="33">
        <v>7822.807</v>
      </c>
      <c r="D416" s="33">
        <v>-6.412</v>
      </c>
    </row>
    <row r="417">
      <c r="A417" s="32">
        <v>1824.0</v>
      </c>
      <c r="B417" s="33">
        <v>6939.12</v>
      </c>
      <c r="C417" s="33">
        <v>9063.44</v>
      </c>
      <c r="D417" s="33">
        <v>-5.42</v>
      </c>
    </row>
    <row r="418">
      <c r="A418" s="32">
        <v>1825.0</v>
      </c>
      <c r="B418" s="33">
        <v>6931.052</v>
      </c>
      <c r="C418" s="33">
        <v>10289.173</v>
      </c>
      <c r="D418" s="33">
        <v>-3.336</v>
      </c>
    </row>
    <row r="419">
      <c r="A419" s="32">
        <v>1826.0</v>
      </c>
      <c r="B419" s="33">
        <v>6926.895</v>
      </c>
      <c r="C419" s="33">
        <v>11480.492</v>
      </c>
      <c r="D419" s="33">
        <v>0.591</v>
      </c>
    </row>
    <row r="420">
      <c r="A420" s="32">
        <v>1827.0</v>
      </c>
      <c r="B420" s="33">
        <v>6927.886</v>
      </c>
      <c r="C420" s="33">
        <v>12686.796</v>
      </c>
      <c r="D420" s="33">
        <v>-3.591</v>
      </c>
    </row>
    <row r="421">
      <c r="A421" s="32">
        <v>1828.0</v>
      </c>
      <c r="B421" s="33">
        <v>6938.542</v>
      </c>
      <c r="C421" s="33">
        <v>13871.233</v>
      </c>
      <c r="D421" s="33">
        <v>-7.515</v>
      </c>
    </row>
    <row r="422">
      <c r="A422" s="32">
        <v>1902.0</v>
      </c>
      <c r="B422" s="33">
        <v>8089.956</v>
      </c>
      <c r="C422" s="33">
        <v>-17345.579</v>
      </c>
      <c r="D422" s="33">
        <v>-25.153</v>
      </c>
    </row>
    <row r="423">
      <c r="A423" s="32">
        <v>1903.0</v>
      </c>
      <c r="B423" s="33">
        <v>8090.625</v>
      </c>
      <c r="C423" s="33">
        <v>-16151.098</v>
      </c>
      <c r="D423" s="33">
        <v>-22.9</v>
      </c>
    </row>
    <row r="424">
      <c r="A424" s="32">
        <v>1904.0</v>
      </c>
      <c r="B424" s="33">
        <v>8092.055</v>
      </c>
      <c r="C424" s="33">
        <v>-14944.946</v>
      </c>
      <c r="D424" s="33">
        <v>-24.664</v>
      </c>
    </row>
    <row r="425">
      <c r="A425" s="32">
        <v>1905.0</v>
      </c>
      <c r="B425" s="33">
        <v>8143.413</v>
      </c>
      <c r="C425" s="33">
        <v>-13698.896</v>
      </c>
      <c r="D425" s="33">
        <v>-17.364</v>
      </c>
    </row>
    <row r="426">
      <c r="A426" s="32">
        <v>1906.0</v>
      </c>
      <c r="B426" s="33">
        <v>8098.743</v>
      </c>
      <c r="C426" s="33">
        <v>-12545.76</v>
      </c>
      <c r="D426" s="33">
        <v>-17.089</v>
      </c>
    </row>
    <row r="427">
      <c r="A427" s="32">
        <v>1907.0</v>
      </c>
      <c r="B427" s="33">
        <v>8097.672</v>
      </c>
      <c r="C427" s="33">
        <v>-11341.28</v>
      </c>
      <c r="D427" s="33">
        <v>-14.027</v>
      </c>
    </row>
    <row r="428">
      <c r="A428" s="32">
        <v>1908.0</v>
      </c>
      <c r="B428" s="33">
        <v>8219.433</v>
      </c>
      <c r="C428" s="33">
        <v>-10202.405</v>
      </c>
      <c r="D428" s="33">
        <v>-13.094</v>
      </c>
    </row>
    <row r="429">
      <c r="A429" s="32">
        <v>1909.0</v>
      </c>
      <c r="B429" s="33">
        <v>8103.221</v>
      </c>
      <c r="C429" s="33">
        <v>-8937.522</v>
      </c>
      <c r="D429" s="33">
        <v>-9.423</v>
      </c>
    </row>
    <row r="430">
      <c r="A430" s="32">
        <v>1910.0</v>
      </c>
      <c r="B430" s="33">
        <v>8108.374</v>
      </c>
      <c r="C430" s="33">
        <v>-7741.799</v>
      </c>
      <c r="D430" s="33">
        <v>-8.152</v>
      </c>
    </row>
    <row r="431">
      <c r="A431" s="32">
        <v>1911.0</v>
      </c>
      <c r="B431" s="33">
        <v>8103.412</v>
      </c>
      <c r="C431" s="33">
        <v>-6536.312</v>
      </c>
      <c r="D431" s="33">
        <v>-6.303</v>
      </c>
    </row>
    <row r="432">
      <c r="A432" s="32">
        <v>1912.0</v>
      </c>
      <c r="B432" s="33">
        <v>8137.57</v>
      </c>
      <c r="C432" s="33">
        <v>-5338.0</v>
      </c>
      <c r="D432" s="33">
        <v>-5.588</v>
      </c>
    </row>
    <row r="433">
      <c r="A433" s="32">
        <v>1913.0</v>
      </c>
      <c r="B433" s="33">
        <v>8112.837</v>
      </c>
      <c r="C433" s="33">
        <v>-4135.86</v>
      </c>
      <c r="D433" s="33">
        <v>-4.722</v>
      </c>
    </row>
    <row r="434">
      <c r="A434" s="32">
        <v>1914.0</v>
      </c>
      <c r="B434" s="33">
        <v>8099.904</v>
      </c>
      <c r="C434" s="33">
        <v>-2903.389</v>
      </c>
      <c r="D434" s="33">
        <v>-5.254</v>
      </c>
    </row>
    <row r="435">
      <c r="A435" s="32">
        <v>1915.0</v>
      </c>
      <c r="B435" s="33">
        <v>8109.397</v>
      </c>
      <c r="C435" s="33">
        <v>-1736.522</v>
      </c>
      <c r="D435" s="33">
        <v>-3.33</v>
      </c>
    </row>
    <row r="436">
      <c r="A436" s="32">
        <v>1916.0</v>
      </c>
      <c r="B436" s="33">
        <v>8107.55</v>
      </c>
      <c r="C436" s="33">
        <v>-540.125</v>
      </c>
      <c r="D436" s="33">
        <v>-3.704</v>
      </c>
    </row>
    <row r="437">
      <c r="A437" s="32">
        <v>1917.0</v>
      </c>
      <c r="B437" s="33">
        <v>8113.566</v>
      </c>
      <c r="C437" s="33">
        <v>645.843</v>
      </c>
      <c r="D437" s="33">
        <v>-3.121</v>
      </c>
    </row>
    <row r="438">
      <c r="A438" s="32">
        <v>1918.0</v>
      </c>
      <c r="B438" s="33">
        <v>8119.375</v>
      </c>
      <c r="C438" s="33">
        <v>1862.685</v>
      </c>
      <c r="D438" s="33">
        <v>-2.459</v>
      </c>
    </row>
    <row r="439">
      <c r="A439" s="32">
        <v>1919.0</v>
      </c>
      <c r="B439" s="33">
        <v>8110.532</v>
      </c>
      <c r="C439" s="33">
        <v>3066.298</v>
      </c>
      <c r="D439" s="33">
        <v>-3.534</v>
      </c>
    </row>
    <row r="440">
      <c r="A440" s="32">
        <v>1920.0</v>
      </c>
      <c r="B440" s="33">
        <v>8110.958</v>
      </c>
      <c r="C440" s="33">
        <v>4231.947</v>
      </c>
      <c r="D440" s="33">
        <v>-3.763</v>
      </c>
    </row>
    <row r="441">
      <c r="A441" s="32">
        <v>1921.0</v>
      </c>
      <c r="B441" s="33">
        <v>8125.364</v>
      </c>
      <c r="C441" s="33">
        <v>5470.014</v>
      </c>
      <c r="D441" s="33">
        <v>-3.645</v>
      </c>
    </row>
    <row r="442">
      <c r="A442" s="32">
        <v>1922.0</v>
      </c>
      <c r="B442" s="33">
        <v>8133.809</v>
      </c>
      <c r="C442" s="33">
        <v>6628.789</v>
      </c>
      <c r="D442" s="33">
        <v>-5.997</v>
      </c>
    </row>
    <row r="443">
      <c r="A443" s="32">
        <v>1923.0</v>
      </c>
      <c r="B443" s="33">
        <v>8122.254</v>
      </c>
      <c r="C443" s="33">
        <v>7871.718</v>
      </c>
      <c r="D443" s="33">
        <v>-7.279</v>
      </c>
    </row>
    <row r="444">
      <c r="A444" s="32">
        <v>1924.0</v>
      </c>
      <c r="B444" s="33">
        <v>8129.024</v>
      </c>
      <c r="C444" s="33">
        <v>9064.476</v>
      </c>
      <c r="D444" s="33">
        <v>-8.965</v>
      </c>
    </row>
    <row r="445">
      <c r="A445" s="32">
        <v>1925.0</v>
      </c>
      <c r="B445" s="33">
        <v>8105.632</v>
      </c>
      <c r="C445" s="33">
        <v>10259.982</v>
      </c>
      <c r="D445" s="33">
        <v>-9.651</v>
      </c>
    </row>
    <row r="446">
      <c r="A446" s="32">
        <v>1926.0</v>
      </c>
      <c r="B446" s="33">
        <v>8135.739</v>
      </c>
      <c r="C446" s="33">
        <v>11468.213</v>
      </c>
      <c r="D446" s="33">
        <v>-7.052</v>
      </c>
    </row>
    <row r="447">
      <c r="A447" s="32">
        <v>1927.0</v>
      </c>
      <c r="B447" s="33">
        <v>8134.917</v>
      </c>
      <c r="C447" s="33">
        <v>12664.743</v>
      </c>
      <c r="D447" s="33">
        <v>-10.331</v>
      </c>
    </row>
    <row r="448">
      <c r="A448" s="32">
        <v>2004.0</v>
      </c>
      <c r="B448" s="33">
        <v>9292.723</v>
      </c>
      <c r="C448" s="33">
        <v>-14948.063</v>
      </c>
      <c r="D448" s="33">
        <v>-22.105</v>
      </c>
    </row>
    <row r="449">
      <c r="A449" s="32">
        <v>2005.0</v>
      </c>
      <c r="B449" s="33">
        <v>9304.443</v>
      </c>
      <c r="C449" s="33">
        <v>-13752.454</v>
      </c>
      <c r="D449" s="33">
        <v>-19.705</v>
      </c>
    </row>
    <row r="450">
      <c r="A450" s="32">
        <v>2006.0</v>
      </c>
      <c r="B450" s="33">
        <v>9298.258</v>
      </c>
      <c r="C450" s="33">
        <v>-12548.311</v>
      </c>
      <c r="D450" s="33">
        <v>-19.307</v>
      </c>
    </row>
    <row r="451">
      <c r="A451" s="32">
        <v>2007.0</v>
      </c>
      <c r="B451" s="33">
        <v>9301.071</v>
      </c>
      <c r="C451" s="33">
        <v>-11349.158</v>
      </c>
      <c r="D451" s="33">
        <v>-15.63</v>
      </c>
    </row>
    <row r="452">
      <c r="A452" s="32">
        <v>2008.0</v>
      </c>
      <c r="B452" s="33">
        <v>9300.334</v>
      </c>
      <c r="C452" s="33">
        <v>-10146.672</v>
      </c>
      <c r="D452" s="33">
        <v>-13.717</v>
      </c>
    </row>
    <row r="453">
      <c r="A453" s="32">
        <v>2009.0</v>
      </c>
      <c r="B453" s="33">
        <v>9304.169</v>
      </c>
      <c r="C453" s="33">
        <v>-8939.736</v>
      </c>
      <c r="D453" s="33">
        <v>-12.372</v>
      </c>
    </row>
    <row r="454">
      <c r="A454" s="32">
        <v>2010.0</v>
      </c>
      <c r="B454" s="33">
        <v>9307.681</v>
      </c>
      <c r="C454" s="33">
        <v>-7752.676</v>
      </c>
      <c r="D454" s="33">
        <v>-11.0</v>
      </c>
    </row>
    <row r="455">
      <c r="A455" s="32">
        <v>2011.0</v>
      </c>
      <c r="B455" s="33">
        <v>9308.49</v>
      </c>
      <c r="C455" s="33">
        <v>-6544.629</v>
      </c>
      <c r="D455" s="33">
        <v>-8.974</v>
      </c>
    </row>
    <row r="456">
      <c r="A456" s="32">
        <v>2012.0</v>
      </c>
      <c r="B456" s="33">
        <v>9307.92</v>
      </c>
      <c r="C456" s="33">
        <v>-5339.691</v>
      </c>
      <c r="D456" s="33">
        <v>-7.178</v>
      </c>
    </row>
    <row r="457">
      <c r="A457" s="32">
        <v>2013.0</v>
      </c>
      <c r="B457" s="33">
        <v>9313.911</v>
      </c>
      <c r="C457" s="33">
        <v>-4280.321</v>
      </c>
      <c r="D457" s="33">
        <v>-6.196</v>
      </c>
    </row>
    <row r="458">
      <c r="A458" s="32">
        <v>2014.0</v>
      </c>
      <c r="B458" s="33">
        <v>9260.063</v>
      </c>
      <c r="C458" s="33">
        <v>-2910.985</v>
      </c>
      <c r="D458" s="33">
        <v>-2.604</v>
      </c>
    </row>
    <row r="459">
      <c r="A459" s="32">
        <v>2015.0</v>
      </c>
      <c r="B459" s="33">
        <v>9313.898</v>
      </c>
      <c r="C459" s="33">
        <v>-1735.289</v>
      </c>
      <c r="D459" s="33">
        <v>-4.913</v>
      </c>
    </row>
    <row r="460">
      <c r="A460" s="32">
        <v>2016.0</v>
      </c>
      <c r="B460" s="33">
        <v>9312.207</v>
      </c>
      <c r="C460" s="33">
        <v>-533.34</v>
      </c>
      <c r="D460" s="33">
        <v>-3.806</v>
      </c>
    </row>
    <row r="461">
      <c r="A461" s="32">
        <v>2017.0</v>
      </c>
      <c r="B461" s="33">
        <v>9315.182</v>
      </c>
      <c r="C461" s="33">
        <v>660.177</v>
      </c>
      <c r="D461" s="33">
        <v>-4.762</v>
      </c>
    </row>
    <row r="462">
      <c r="A462" s="32">
        <v>2018.0</v>
      </c>
      <c r="B462" s="33">
        <v>9320.386</v>
      </c>
      <c r="C462" s="33">
        <v>1865.804</v>
      </c>
      <c r="D462" s="33">
        <v>-3.799</v>
      </c>
    </row>
    <row r="463">
      <c r="A463" s="32">
        <v>2019.0</v>
      </c>
      <c r="B463" s="33">
        <v>9318.775</v>
      </c>
      <c r="C463" s="33">
        <v>3069.869</v>
      </c>
      <c r="D463" s="33">
        <v>-4.044</v>
      </c>
    </row>
    <row r="464">
      <c r="A464" s="32">
        <v>2020.0</v>
      </c>
      <c r="B464" s="33">
        <v>9303.798</v>
      </c>
      <c r="C464" s="33">
        <v>4273.033</v>
      </c>
      <c r="D464" s="33">
        <v>-4.846</v>
      </c>
    </row>
    <row r="465">
      <c r="A465" s="32">
        <v>2021.0</v>
      </c>
      <c r="B465" s="33">
        <v>9347.21</v>
      </c>
      <c r="C465" s="33">
        <v>5466.941</v>
      </c>
      <c r="D465" s="33">
        <v>-4.993</v>
      </c>
    </row>
    <row r="466">
      <c r="A466" s="32">
        <v>2022.0</v>
      </c>
      <c r="B466" s="33">
        <v>9309.399</v>
      </c>
      <c r="C466" s="33">
        <v>6586.797</v>
      </c>
      <c r="D466" s="33">
        <v>-6.179</v>
      </c>
    </row>
    <row r="467">
      <c r="A467" s="32">
        <v>2023.0</v>
      </c>
      <c r="B467" s="33">
        <v>9324.333</v>
      </c>
      <c r="C467" s="33">
        <v>7867.18</v>
      </c>
      <c r="D467" s="33">
        <v>-7.385</v>
      </c>
    </row>
    <row r="468">
      <c r="A468" s="32">
        <v>2024.0</v>
      </c>
      <c r="B468" s="33">
        <v>9326.083</v>
      </c>
      <c r="C468" s="33">
        <v>9069.596</v>
      </c>
      <c r="D468" s="33">
        <v>-7.868</v>
      </c>
    </row>
    <row r="469">
      <c r="A469" s="32">
        <v>2025.0</v>
      </c>
      <c r="B469" s="33">
        <v>9292.782</v>
      </c>
      <c r="C469" s="33">
        <v>10325.495</v>
      </c>
      <c r="D469" s="33">
        <v>-9.924</v>
      </c>
    </row>
    <row r="470">
      <c r="A470" s="32">
        <v>2105.0</v>
      </c>
      <c r="B470" s="33">
        <v>10502.317</v>
      </c>
      <c r="C470" s="33">
        <v>-13747.823</v>
      </c>
      <c r="D470" s="33">
        <v>-23.652</v>
      </c>
    </row>
    <row r="471">
      <c r="A471" s="32">
        <v>2106.0</v>
      </c>
      <c r="B471" s="33">
        <v>10496.652</v>
      </c>
      <c r="C471" s="33">
        <v>-12551.79</v>
      </c>
      <c r="D471" s="33">
        <v>-21.461</v>
      </c>
    </row>
    <row r="472">
      <c r="A472" s="32">
        <v>2107.0</v>
      </c>
      <c r="B472" s="33">
        <v>10497.882</v>
      </c>
      <c r="C472" s="33">
        <v>-11341.088</v>
      </c>
      <c r="D472" s="33">
        <v>-19.08</v>
      </c>
    </row>
    <row r="473">
      <c r="A473" s="32">
        <v>2108.0</v>
      </c>
      <c r="B473" s="33">
        <v>10501.732</v>
      </c>
      <c r="C473" s="33">
        <v>-10149.593</v>
      </c>
      <c r="D473" s="33">
        <v>-14.754</v>
      </c>
    </row>
    <row r="474">
      <c r="A474" s="32">
        <v>2109.0</v>
      </c>
      <c r="B474" s="33">
        <v>10503.917</v>
      </c>
      <c r="C474" s="33">
        <v>-8944.991</v>
      </c>
      <c r="D474" s="33">
        <v>-12.94</v>
      </c>
    </row>
    <row r="475">
      <c r="A475" s="32">
        <v>2110.0</v>
      </c>
      <c r="B475" s="33">
        <v>10517.94</v>
      </c>
      <c r="C475" s="33">
        <v>-7747.587</v>
      </c>
      <c r="D475" s="33">
        <v>-12.822</v>
      </c>
    </row>
    <row r="476">
      <c r="A476" s="32">
        <v>2111.0</v>
      </c>
      <c r="B476" s="33">
        <v>10510.362</v>
      </c>
      <c r="C476" s="33">
        <v>-6540.441</v>
      </c>
      <c r="D476" s="33">
        <v>-9.544</v>
      </c>
    </row>
    <row r="477">
      <c r="A477" s="32">
        <v>2112.0</v>
      </c>
      <c r="B477" s="33">
        <v>10491.277</v>
      </c>
      <c r="C477" s="33">
        <v>-5316.094</v>
      </c>
      <c r="D477" s="33">
        <v>-7.782</v>
      </c>
    </row>
    <row r="478">
      <c r="A478" s="32">
        <v>2113.0</v>
      </c>
      <c r="B478" s="33">
        <v>10511.629</v>
      </c>
      <c r="C478" s="33">
        <v>-4142.439</v>
      </c>
      <c r="D478" s="33">
        <v>-7.043</v>
      </c>
    </row>
    <row r="479">
      <c r="A479" s="32">
        <v>2114.0</v>
      </c>
      <c r="B479" s="33">
        <v>10510.786</v>
      </c>
      <c r="C479" s="33">
        <v>-2940.937</v>
      </c>
      <c r="D479" s="33">
        <v>-8.773</v>
      </c>
    </row>
    <row r="480">
      <c r="A480" s="32">
        <v>2115.0</v>
      </c>
      <c r="B480" s="33">
        <v>10458.407</v>
      </c>
      <c r="C480" s="33">
        <v>-1724.512</v>
      </c>
      <c r="D480" s="33">
        <v>-6.301</v>
      </c>
    </row>
    <row r="481">
      <c r="A481" s="32">
        <v>2116.0</v>
      </c>
      <c r="B481" s="33">
        <v>10513.508</v>
      </c>
      <c r="C481" s="33">
        <v>-537.589</v>
      </c>
      <c r="D481" s="33">
        <v>-6.65</v>
      </c>
    </row>
    <row r="482">
      <c r="A482" s="32">
        <v>2117.0</v>
      </c>
      <c r="B482" s="33">
        <v>10517.152</v>
      </c>
      <c r="C482" s="33">
        <v>664.814</v>
      </c>
      <c r="D482" s="33">
        <v>-6.058</v>
      </c>
    </row>
    <row r="483">
      <c r="A483" s="32">
        <v>2118.0</v>
      </c>
      <c r="B483" s="33">
        <v>10518.723</v>
      </c>
      <c r="C483" s="33">
        <v>1868.548</v>
      </c>
      <c r="D483" s="33">
        <v>-5.221</v>
      </c>
    </row>
    <row r="484">
      <c r="A484" s="32">
        <v>2119.0</v>
      </c>
      <c r="B484" s="33">
        <v>10515.891</v>
      </c>
      <c r="C484" s="33">
        <v>3071.835</v>
      </c>
      <c r="D484" s="33">
        <v>-7.203</v>
      </c>
    </row>
    <row r="485">
      <c r="A485" s="32">
        <v>2120.0</v>
      </c>
      <c r="B485" s="33">
        <v>10521.694</v>
      </c>
      <c r="C485" s="33">
        <v>4269.028</v>
      </c>
      <c r="D485" s="33">
        <v>-6.633</v>
      </c>
    </row>
    <row r="486">
      <c r="A486" s="32">
        <v>2121.0</v>
      </c>
      <c r="B486" s="33">
        <v>10524.819</v>
      </c>
      <c r="C486" s="33">
        <v>5404.479</v>
      </c>
      <c r="D486" s="33">
        <v>-6.522</v>
      </c>
    </row>
    <row r="487">
      <c r="A487" s="32">
        <v>2122.0</v>
      </c>
      <c r="B487" s="33">
        <v>10544.762</v>
      </c>
      <c r="C487" s="33">
        <v>6660.439</v>
      </c>
      <c r="D487" s="33">
        <v>-7.035</v>
      </c>
    </row>
    <row r="488">
      <c r="A488" s="32">
        <v>2123.0</v>
      </c>
      <c r="B488" s="33">
        <v>10625.833</v>
      </c>
      <c r="C488" s="33">
        <v>7773.347</v>
      </c>
      <c r="D488" s="33">
        <v>-7.052</v>
      </c>
    </row>
    <row r="489">
      <c r="A489" s="32">
        <v>2206.0</v>
      </c>
      <c r="B489" s="33">
        <v>11701.715</v>
      </c>
      <c r="C489" s="33">
        <v>-12553.539</v>
      </c>
      <c r="D489" s="33">
        <v>-14.808</v>
      </c>
    </row>
    <row r="490">
      <c r="A490" s="32">
        <v>2207.0</v>
      </c>
      <c r="B490" s="33">
        <v>11847.262</v>
      </c>
      <c r="C490" s="33">
        <v>-11344.947</v>
      </c>
      <c r="D490" s="33">
        <v>48.423</v>
      </c>
    </row>
    <row r="491">
      <c r="A491" s="32">
        <v>2208.0</v>
      </c>
      <c r="B491" s="33">
        <v>11796.007</v>
      </c>
      <c r="C491" s="33">
        <v>-10399.505</v>
      </c>
      <c r="D491" s="33">
        <v>64.574</v>
      </c>
    </row>
    <row r="492">
      <c r="A492" s="32">
        <v>2209.0</v>
      </c>
      <c r="B492" s="33">
        <v>11705.123</v>
      </c>
      <c r="C492" s="33">
        <v>-8941.843</v>
      </c>
      <c r="D492" s="33">
        <v>-13.283</v>
      </c>
    </row>
    <row r="493">
      <c r="A493" s="32">
        <v>2210.0</v>
      </c>
      <c r="B493" s="33">
        <v>11707.396</v>
      </c>
      <c r="C493" s="33">
        <v>-7749.561</v>
      </c>
      <c r="D493" s="33">
        <v>-13.904</v>
      </c>
    </row>
    <row r="494">
      <c r="A494" s="32">
        <v>2211.0</v>
      </c>
      <c r="B494" s="33">
        <v>11708.955</v>
      </c>
      <c r="C494" s="33">
        <v>-6540.735</v>
      </c>
      <c r="D494" s="33">
        <v>-12.089</v>
      </c>
    </row>
    <row r="495">
      <c r="A495" s="32">
        <v>2212.0</v>
      </c>
      <c r="B495" s="33">
        <v>11579.205</v>
      </c>
      <c r="C495" s="33">
        <v>-5284.131</v>
      </c>
      <c r="D495" s="33">
        <v>-10.415</v>
      </c>
    </row>
    <row r="496">
      <c r="A496" s="32">
        <v>2213.0</v>
      </c>
      <c r="B496" s="33">
        <v>11711.5</v>
      </c>
      <c r="C496" s="33">
        <v>-4144.73</v>
      </c>
      <c r="D496" s="33">
        <v>-8.712</v>
      </c>
    </row>
    <row r="497">
      <c r="A497" s="32">
        <v>2214.0</v>
      </c>
      <c r="B497" s="33">
        <v>11712.805</v>
      </c>
      <c r="C497" s="33">
        <v>-2944.002</v>
      </c>
      <c r="D497" s="33">
        <v>-9.225</v>
      </c>
    </row>
    <row r="498">
      <c r="A498" s="32">
        <v>2215.0</v>
      </c>
      <c r="B498" s="33">
        <v>11772.534</v>
      </c>
      <c r="C498" s="33">
        <v>-1738.854</v>
      </c>
      <c r="D498" s="33">
        <v>-7.551</v>
      </c>
    </row>
    <row r="499">
      <c r="A499" s="32">
        <v>2216.0</v>
      </c>
      <c r="B499" s="33">
        <v>11715.242</v>
      </c>
      <c r="C499" s="33">
        <v>-539.876</v>
      </c>
      <c r="D499" s="33">
        <v>-7.631</v>
      </c>
    </row>
    <row r="500">
      <c r="A500" s="32">
        <v>2217.0</v>
      </c>
      <c r="B500" s="33">
        <v>11717.497</v>
      </c>
      <c r="C500" s="33">
        <v>659.861</v>
      </c>
      <c r="D500" s="33">
        <v>-7.417</v>
      </c>
    </row>
    <row r="501">
      <c r="A501" s="32">
        <v>2218.0</v>
      </c>
      <c r="B501" s="33">
        <v>11715.698</v>
      </c>
      <c r="C501" s="33">
        <v>1858.483</v>
      </c>
      <c r="D501" s="33">
        <v>-7.341</v>
      </c>
    </row>
    <row r="502">
      <c r="A502" s="32">
        <v>2219.0</v>
      </c>
      <c r="B502" s="33">
        <v>11703.356</v>
      </c>
      <c r="C502" s="33">
        <v>3069.861</v>
      </c>
      <c r="D502" s="33">
        <v>-7.867</v>
      </c>
    </row>
    <row r="503">
      <c r="A503" s="32">
        <v>2220.0</v>
      </c>
      <c r="B503" s="33">
        <v>11730.633</v>
      </c>
      <c r="C503" s="33">
        <v>4261.76</v>
      </c>
      <c r="D503" s="33">
        <v>-5.814</v>
      </c>
    </row>
    <row r="504">
      <c r="A504" s="32">
        <v>2307.0</v>
      </c>
      <c r="B504" s="33">
        <v>12902.838</v>
      </c>
      <c r="C504" s="33">
        <v>-11353.383</v>
      </c>
      <c r="D504" s="33">
        <v>47.784</v>
      </c>
    </row>
    <row r="505">
      <c r="A505" s="32">
        <v>2308.0</v>
      </c>
      <c r="B505" s="33">
        <v>12905.606</v>
      </c>
      <c r="C505" s="33">
        <v>-10146.551</v>
      </c>
      <c r="D505" s="33">
        <v>51.807</v>
      </c>
    </row>
    <row r="506">
      <c r="A506" s="32">
        <v>2309.0</v>
      </c>
      <c r="B506" s="33">
        <v>12790.982</v>
      </c>
      <c r="C506" s="33">
        <v>-8836.585</v>
      </c>
      <c r="D506" s="33">
        <v>98.362</v>
      </c>
    </row>
    <row r="507">
      <c r="A507" s="32">
        <v>2310.0</v>
      </c>
      <c r="B507" s="33">
        <v>12860.385</v>
      </c>
      <c r="C507" s="33">
        <v>-7677.578</v>
      </c>
      <c r="D507" s="33">
        <v>-7.704</v>
      </c>
    </row>
    <row r="508">
      <c r="A508" s="32">
        <v>2311.0</v>
      </c>
      <c r="B508" s="33">
        <v>12909.878</v>
      </c>
      <c r="C508" s="33">
        <v>-6538.399</v>
      </c>
      <c r="D508" s="33">
        <v>-13.851</v>
      </c>
    </row>
    <row r="509">
      <c r="A509" s="32">
        <v>2312.0</v>
      </c>
      <c r="B509" s="33">
        <v>13148.195</v>
      </c>
      <c r="C509" s="33">
        <v>-5340.837</v>
      </c>
      <c r="D509" s="33">
        <v>-9.509</v>
      </c>
    </row>
    <row r="510">
      <c r="A510" s="32">
        <v>2313.0</v>
      </c>
      <c r="B510" s="33">
        <v>12918.102</v>
      </c>
      <c r="C510" s="33">
        <v>-4141.83</v>
      </c>
      <c r="D510" s="33">
        <v>-7.676</v>
      </c>
    </row>
    <row r="511">
      <c r="A511" s="32">
        <v>2314.0</v>
      </c>
      <c r="B511" s="33">
        <v>12912.998</v>
      </c>
      <c r="C511" s="33">
        <v>-2991.857</v>
      </c>
      <c r="D511" s="33">
        <v>-11.851</v>
      </c>
    </row>
    <row r="512">
      <c r="A512" s="32">
        <v>2315.0</v>
      </c>
      <c r="B512" s="33">
        <v>12918.874</v>
      </c>
      <c r="C512" s="33">
        <v>-1743.148</v>
      </c>
      <c r="D512" s="33">
        <v>-11.258</v>
      </c>
    </row>
    <row r="513">
      <c r="A513" s="32">
        <v>2316.0</v>
      </c>
      <c r="B513" s="33">
        <v>12913.859</v>
      </c>
      <c r="C513" s="33">
        <v>-536.319</v>
      </c>
      <c r="D513" s="33">
        <v>-10.352</v>
      </c>
    </row>
    <row r="514">
      <c r="A514" s="32">
        <v>2317.0</v>
      </c>
      <c r="B514" s="33">
        <v>12918.531</v>
      </c>
      <c r="C514" s="33">
        <v>656.204</v>
      </c>
      <c r="D514" s="33">
        <v>-9.632</v>
      </c>
    </row>
    <row r="515">
      <c r="A515" s="32">
        <v>2408.0</v>
      </c>
      <c r="B515" s="33">
        <v>14105.62</v>
      </c>
      <c r="C515" s="33">
        <v>-10155.231</v>
      </c>
      <c r="D515" s="33">
        <v>37.906</v>
      </c>
    </row>
    <row r="516">
      <c r="A516" s="32">
        <v>2409.0</v>
      </c>
      <c r="B516" s="33">
        <v>14106.464</v>
      </c>
      <c r="C516" s="33">
        <v>-8944.622</v>
      </c>
      <c r="D516" s="33">
        <v>40.241</v>
      </c>
    </row>
    <row r="517">
      <c r="A517" s="32">
        <v>2410.0</v>
      </c>
      <c r="B517" s="33">
        <v>13810.76</v>
      </c>
      <c r="C517" s="33">
        <v>-7660.633</v>
      </c>
      <c r="D517" s="33">
        <v>82.653</v>
      </c>
    </row>
    <row r="518">
      <c r="A518" s="32">
        <v>2411.0</v>
      </c>
      <c r="B518" s="33">
        <v>14109.666</v>
      </c>
      <c r="C518" s="33">
        <v>-6545.498</v>
      </c>
      <c r="D518" s="33">
        <v>49.365</v>
      </c>
    </row>
    <row r="519">
      <c r="A519" s="32">
        <v>2412.0</v>
      </c>
      <c r="B519" s="33">
        <v>14110.468</v>
      </c>
      <c r="C519" s="33">
        <v>-5345.708</v>
      </c>
      <c r="D519" s="33">
        <v>-13.756</v>
      </c>
    </row>
    <row r="520">
      <c r="A520" s="32">
        <v>3612.0</v>
      </c>
      <c r="B520" s="33">
        <v>17663.888</v>
      </c>
      <c r="C520" s="33">
        <v>-42648.629</v>
      </c>
      <c r="D520" s="33">
        <v>-107.563</v>
      </c>
    </row>
    <row r="521">
      <c r="A521" s="32">
        <v>3614.0</v>
      </c>
      <c r="B521" s="33">
        <v>21834.314</v>
      </c>
      <c r="C521" s="33">
        <v>-42558.26</v>
      </c>
      <c r="D521" s="33">
        <v>-125.622</v>
      </c>
    </row>
    <row r="522">
      <c r="A522" s="32">
        <v>3615.0</v>
      </c>
      <c r="B522" s="33">
        <v>23909.309</v>
      </c>
      <c r="C522" s="33">
        <v>-42518.177</v>
      </c>
      <c r="D522" s="33">
        <v>-124.983</v>
      </c>
    </row>
    <row r="523">
      <c r="A523" s="32">
        <v>3616.0</v>
      </c>
      <c r="B523" s="33">
        <v>-4552.148</v>
      </c>
      <c r="C523" s="33">
        <v>12609.558</v>
      </c>
      <c r="D523" s="33">
        <v>123.157</v>
      </c>
    </row>
    <row r="524">
      <c r="A524" s="32">
        <v>3710.0</v>
      </c>
      <c r="B524" s="33">
        <v>13467.601</v>
      </c>
      <c r="C524" s="33">
        <v>-40651.566</v>
      </c>
      <c r="D524" s="33">
        <v>-76.654</v>
      </c>
    </row>
    <row r="525">
      <c r="A525" s="32">
        <v>3711.0</v>
      </c>
      <c r="B525" s="33">
        <v>15551.035</v>
      </c>
      <c r="C525" s="33">
        <v>-40605.194</v>
      </c>
      <c r="D525" s="33">
        <v>-79.89</v>
      </c>
    </row>
    <row r="526">
      <c r="A526" s="32">
        <v>3712.0</v>
      </c>
      <c r="B526" s="33">
        <v>17614.165</v>
      </c>
      <c r="C526" s="33">
        <v>-40574.589</v>
      </c>
      <c r="D526" s="33">
        <v>-91.221</v>
      </c>
    </row>
    <row r="527">
      <c r="A527" s="32">
        <v>3713.0</v>
      </c>
      <c r="B527" s="33">
        <v>19699.148</v>
      </c>
      <c r="C527" s="33">
        <v>-40519.054</v>
      </c>
      <c r="D527" s="33">
        <v>-105.726</v>
      </c>
    </row>
    <row r="528">
      <c r="A528" s="32">
        <v>3714.0</v>
      </c>
      <c r="B528" s="33">
        <v>21782.938</v>
      </c>
      <c r="C528" s="33">
        <v>-40477.875</v>
      </c>
      <c r="D528" s="33">
        <v>-116.41</v>
      </c>
    </row>
    <row r="529">
      <c r="A529" s="32">
        <v>3715.0</v>
      </c>
      <c r="B529" s="33">
        <v>23868.456</v>
      </c>
      <c r="C529" s="33">
        <v>-40433.852</v>
      </c>
      <c r="D529" s="33">
        <v>-120.712</v>
      </c>
    </row>
    <row r="530">
      <c r="A530" s="32">
        <v>3716.0</v>
      </c>
      <c r="B530" s="33">
        <v>25939.241</v>
      </c>
      <c r="C530" s="33">
        <v>-40381.283</v>
      </c>
      <c r="D530" s="33">
        <v>-132.622</v>
      </c>
    </row>
    <row r="531">
      <c r="A531" s="32">
        <v>3717.0</v>
      </c>
      <c r="B531" s="33">
        <v>-1589.316</v>
      </c>
      <c r="C531" s="33">
        <v>13794.181</v>
      </c>
      <c r="D531" s="33">
        <v>72.623</v>
      </c>
    </row>
    <row r="532">
      <c r="A532" s="32">
        <v>3809.0</v>
      </c>
      <c r="B532" s="33">
        <v>11203.856</v>
      </c>
      <c r="C532" s="33">
        <v>-38632.249</v>
      </c>
      <c r="D532" s="33">
        <v>-59.23</v>
      </c>
    </row>
    <row r="533">
      <c r="A533" s="32">
        <v>3810.0</v>
      </c>
      <c r="B533" s="33">
        <v>13423.373</v>
      </c>
      <c r="C533" s="33">
        <v>-38571.412</v>
      </c>
      <c r="D533" s="33">
        <v>-72.67</v>
      </c>
    </row>
    <row r="534">
      <c r="A534" s="32">
        <v>3811.0</v>
      </c>
      <c r="B534" s="33">
        <v>15439.226</v>
      </c>
      <c r="C534" s="33">
        <v>-38508.047</v>
      </c>
      <c r="D534" s="33">
        <v>-100.0</v>
      </c>
    </row>
    <row r="535">
      <c r="A535" s="32">
        <v>3812.0</v>
      </c>
      <c r="B535" s="33">
        <v>17572.776</v>
      </c>
      <c r="C535" s="33">
        <v>-38493.12</v>
      </c>
      <c r="D535" s="33">
        <v>-105.293</v>
      </c>
    </row>
    <row r="536">
      <c r="A536" s="32">
        <v>3813.0</v>
      </c>
      <c r="B536" s="33">
        <v>19659.86</v>
      </c>
      <c r="C536" s="33">
        <v>-38444.665</v>
      </c>
      <c r="D536" s="33">
        <v>-106.942</v>
      </c>
    </row>
    <row r="537">
      <c r="A537" s="32">
        <v>3814.0</v>
      </c>
      <c r="B537" s="33">
        <v>21747.198</v>
      </c>
      <c r="C537" s="33">
        <v>-38348.085</v>
      </c>
      <c r="D537" s="33">
        <v>-116.505</v>
      </c>
    </row>
    <row r="538">
      <c r="A538" s="32">
        <v>3815.0</v>
      </c>
      <c r="B538" s="33">
        <v>23825.544</v>
      </c>
      <c r="C538" s="33">
        <v>-38355.171</v>
      </c>
      <c r="D538" s="33">
        <v>-120.381</v>
      </c>
    </row>
    <row r="539">
      <c r="A539" s="32">
        <v>3816.0</v>
      </c>
      <c r="B539" s="33">
        <v>25834.258</v>
      </c>
      <c r="C539" s="33">
        <v>-38362.469</v>
      </c>
      <c r="D539" s="33">
        <v>-128.453</v>
      </c>
    </row>
    <row r="540">
      <c r="A540" s="32">
        <v>3817.0</v>
      </c>
      <c r="B540" s="33">
        <v>27978.813</v>
      </c>
      <c r="C540" s="33">
        <v>-38266.817</v>
      </c>
      <c r="D540" s="33">
        <v>-140.17</v>
      </c>
    </row>
    <row r="541">
      <c r="A541" s="32">
        <v>3908.0</v>
      </c>
      <c r="B541" s="33">
        <v>9216.604</v>
      </c>
      <c r="C541" s="33">
        <v>-36577.119</v>
      </c>
      <c r="D541" s="33">
        <v>-56.677</v>
      </c>
    </row>
    <row r="542">
      <c r="A542" s="32">
        <v>3909.0</v>
      </c>
      <c r="B542" s="33">
        <v>11298.097</v>
      </c>
      <c r="C542" s="33">
        <v>-36532.25</v>
      </c>
      <c r="D542" s="33">
        <v>-70.731</v>
      </c>
    </row>
    <row r="543">
      <c r="A543" s="32">
        <v>3910.0</v>
      </c>
      <c r="B543" s="33">
        <v>13284.921</v>
      </c>
      <c r="C543" s="33">
        <v>-36607.003</v>
      </c>
      <c r="D543" s="33">
        <v>-89.034</v>
      </c>
    </row>
    <row r="544">
      <c r="A544" s="32">
        <v>3911.0</v>
      </c>
      <c r="B544" s="33">
        <v>15458.951</v>
      </c>
      <c r="C544" s="33">
        <v>-36449.143</v>
      </c>
      <c r="D544" s="33">
        <v>-89.229</v>
      </c>
    </row>
    <row r="545">
      <c r="A545" s="32">
        <v>3912.0</v>
      </c>
      <c r="B545" s="33">
        <v>17532.329</v>
      </c>
      <c r="C545" s="33">
        <v>-36409.452</v>
      </c>
      <c r="D545" s="33">
        <v>-97.706</v>
      </c>
    </row>
    <row r="546">
      <c r="A546" s="32">
        <v>3913.0</v>
      </c>
      <c r="B546" s="33">
        <v>19612.619</v>
      </c>
      <c r="C546" s="33">
        <v>-36359.363</v>
      </c>
      <c r="D546" s="33">
        <v>-98.158</v>
      </c>
    </row>
    <row r="547">
      <c r="A547" s="32">
        <v>3914.0</v>
      </c>
      <c r="B547" s="33">
        <v>21675.013</v>
      </c>
      <c r="C547" s="33">
        <v>-36312.943</v>
      </c>
      <c r="D547" s="33">
        <v>-107.648</v>
      </c>
    </row>
    <row r="548">
      <c r="A548" s="32">
        <v>3915.0</v>
      </c>
      <c r="B548" s="33">
        <v>23782.403</v>
      </c>
      <c r="C548" s="33">
        <v>-36270.763</v>
      </c>
      <c r="D548" s="33">
        <v>-112.216</v>
      </c>
    </row>
    <row r="549">
      <c r="A549" s="32">
        <v>3917.0</v>
      </c>
      <c r="B549" s="33">
        <v>27939.43</v>
      </c>
      <c r="C549" s="33">
        <v>-36186.619</v>
      </c>
      <c r="D549" s="33">
        <v>-134.856</v>
      </c>
    </row>
    <row r="550">
      <c r="A550" s="32">
        <v>3918.0</v>
      </c>
      <c r="B550" s="33">
        <v>29931.537</v>
      </c>
      <c r="C550" s="33">
        <v>-36202.734</v>
      </c>
      <c r="D550" s="33">
        <v>-137.542</v>
      </c>
    </row>
    <row r="551">
      <c r="A551" s="32">
        <v>4009.0</v>
      </c>
      <c r="B551" s="33">
        <v>11249.977</v>
      </c>
      <c r="C551" s="33">
        <v>-34460.555</v>
      </c>
      <c r="D551" s="33">
        <v>-61.878</v>
      </c>
    </row>
    <row r="552">
      <c r="A552" s="32">
        <v>4010.0</v>
      </c>
      <c r="B552" s="33">
        <v>13328.55</v>
      </c>
      <c r="C552" s="33">
        <v>-34415.483</v>
      </c>
      <c r="D552" s="33">
        <v>-77.293</v>
      </c>
    </row>
    <row r="553">
      <c r="A553" s="32">
        <v>4011.0</v>
      </c>
      <c r="B553" s="33">
        <v>15413.623</v>
      </c>
      <c r="C553" s="33">
        <v>-34372.351</v>
      </c>
      <c r="D553" s="33">
        <v>-82.211</v>
      </c>
    </row>
    <row r="554">
      <c r="A554" s="32">
        <v>4012.0</v>
      </c>
      <c r="B554" s="33">
        <v>17487.147</v>
      </c>
      <c r="C554" s="33">
        <v>-34328.248</v>
      </c>
      <c r="D554" s="33">
        <v>-87.302</v>
      </c>
    </row>
    <row r="555">
      <c r="A555" s="32">
        <v>4013.0</v>
      </c>
      <c r="B555" s="33">
        <v>19568.187</v>
      </c>
      <c r="C555" s="33">
        <v>-34286.455</v>
      </c>
      <c r="D555" s="33">
        <v>-95.113</v>
      </c>
    </row>
    <row r="556">
      <c r="A556" s="32">
        <v>4014.0</v>
      </c>
      <c r="B556" s="33">
        <v>21655.01</v>
      </c>
      <c r="C556" s="33">
        <v>-34239.451</v>
      </c>
      <c r="D556" s="33">
        <v>-99.533</v>
      </c>
    </row>
    <row r="557">
      <c r="A557" s="32">
        <v>4015.0</v>
      </c>
      <c r="B557" s="33">
        <v>23727.753</v>
      </c>
      <c r="C557" s="33">
        <v>-34209.283</v>
      </c>
      <c r="D557" s="33">
        <v>-99.774</v>
      </c>
    </row>
    <row r="558">
      <c r="A558" s="32">
        <v>4016.0</v>
      </c>
      <c r="B558" s="33">
        <v>25813.673</v>
      </c>
      <c r="C558" s="33">
        <v>-34147.468</v>
      </c>
      <c r="D558" s="33">
        <v>-114.411</v>
      </c>
    </row>
    <row r="559">
      <c r="A559" s="32">
        <v>4017.0</v>
      </c>
      <c r="B559" s="33">
        <v>27869.022</v>
      </c>
      <c r="C559" s="33">
        <v>-34134.69</v>
      </c>
      <c r="D559" s="33">
        <v>-116.928</v>
      </c>
    </row>
    <row r="560">
      <c r="A560" s="32">
        <v>4018.0</v>
      </c>
      <c r="B560" s="33">
        <v>29974.899</v>
      </c>
      <c r="C560" s="33">
        <v>-34067.939</v>
      </c>
      <c r="D560" s="33">
        <v>-129.915</v>
      </c>
    </row>
    <row r="561">
      <c r="A561" s="32">
        <v>4107.0</v>
      </c>
      <c r="B561" s="33">
        <v>7046.337</v>
      </c>
      <c r="C561" s="33">
        <v>-32463.71</v>
      </c>
      <c r="D561" s="33">
        <v>-13.195</v>
      </c>
    </row>
    <row r="562">
      <c r="A562" s="32">
        <v>4108.0</v>
      </c>
      <c r="B562" s="33">
        <v>9126.147</v>
      </c>
      <c r="C562" s="33">
        <v>-32427.225</v>
      </c>
      <c r="D562" s="33">
        <v>-42.982</v>
      </c>
    </row>
    <row r="563">
      <c r="A563" s="32">
        <v>4109.0</v>
      </c>
      <c r="B563" s="33">
        <v>11212.325</v>
      </c>
      <c r="C563" s="33">
        <v>-32372.583</v>
      </c>
      <c r="D563" s="33">
        <v>-61.755</v>
      </c>
    </row>
    <row r="564">
      <c r="A564" s="32">
        <v>4110.0</v>
      </c>
      <c r="B564" s="33">
        <v>13249.705</v>
      </c>
      <c r="C564" s="33">
        <v>-32311.874</v>
      </c>
      <c r="D564" s="33">
        <v>-67.558</v>
      </c>
    </row>
    <row r="565">
      <c r="A565" s="32">
        <v>4111.0</v>
      </c>
      <c r="B565" s="33">
        <v>15373.855</v>
      </c>
      <c r="C565" s="33">
        <v>-32289.227</v>
      </c>
      <c r="D565" s="33">
        <v>-72.902</v>
      </c>
    </row>
    <row r="566">
      <c r="A566" s="32">
        <v>4112.0</v>
      </c>
      <c r="B566" s="33">
        <v>17450.03</v>
      </c>
      <c r="C566" s="33">
        <v>-32244.01</v>
      </c>
      <c r="D566" s="33">
        <v>-79.386</v>
      </c>
    </row>
    <row r="567">
      <c r="A567" s="32">
        <v>4114.0</v>
      </c>
      <c r="B567" s="33">
        <v>21614.666</v>
      </c>
      <c r="C567" s="33">
        <v>-32168.238</v>
      </c>
      <c r="D567" s="33">
        <v>-89.917</v>
      </c>
    </row>
    <row r="568">
      <c r="A568" s="32">
        <v>4115.0</v>
      </c>
      <c r="B568" s="33">
        <v>23698.514</v>
      </c>
      <c r="C568" s="33">
        <v>-32105.792</v>
      </c>
      <c r="D568" s="33">
        <v>-99.973</v>
      </c>
    </row>
    <row r="569">
      <c r="A569" s="32">
        <v>4116.0</v>
      </c>
      <c r="B569" s="33">
        <v>25761.493</v>
      </c>
      <c r="C569" s="33">
        <v>-32070.34</v>
      </c>
      <c r="D569" s="33">
        <v>-100.11</v>
      </c>
    </row>
    <row r="570">
      <c r="A570" s="32">
        <v>4117.0</v>
      </c>
      <c r="B570" s="33">
        <v>27809.972</v>
      </c>
      <c r="C570" s="33">
        <v>-32007.072</v>
      </c>
      <c r="D570" s="33">
        <v>-102.391</v>
      </c>
    </row>
    <row r="571">
      <c r="A571" s="32">
        <v>4118.0</v>
      </c>
      <c r="B571" s="33">
        <v>29891.528</v>
      </c>
      <c r="C571" s="33">
        <v>-32006.819</v>
      </c>
      <c r="D571" s="33">
        <v>-117.742</v>
      </c>
    </row>
    <row r="572">
      <c r="A572" s="32">
        <v>4207.0</v>
      </c>
      <c r="B572" s="33">
        <v>-285.91</v>
      </c>
      <c r="C572" s="33">
        <v>1881.119</v>
      </c>
      <c r="D572" s="33">
        <v>2.57</v>
      </c>
    </row>
    <row r="573">
      <c r="A573" s="32">
        <v>4208.0</v>
      </c>
      <c r="B573" s="33">
        <v>9088.736</v>
      </c>
      <c r="C573" s="33">
        <v>-30342.603</v>
      </c>
      <c r="D573" s="33">
        <v>-35.815</v>
      </c>
    </row>
    <row r="574">
      <c r="A574" s="32">
        <v>4209.0</v>
      </c>
      <c r="B574" s="33">
        <v>11170.821</v>
      </c>
      <c r="C574" s="33">
        <v>-30294.646</v>
      </c>
      <c r="D574" s="33">
        <v>-54.179</v>
      </c>
    </row>
    <row r="575">
      <c r="A575" s="32">
        <v>4210.0</v>
      </c>
      <c r="B575" s="33">
        <v>13247.87</v>
      </c>
      <c r="C575" s="33">
        <v>-30248.962</v>
      </c>
      <c r="D575" s="33">
        <v>-64.291</v>
      </c>
    </row>
    <row r="576">
      <c r="A576" s="32">
        <v>4211.0</v>
      </c>
      <c r="B576" s="33">
        <v>15322.933</v>
      </c>
      <c r="C576" s="33">
        <v>-30210.655</v>
      </c>
      <c r="D576" s="33">
        <v>-66.94</v>
      </c>
    </row>
    <row r="577">
      <c r="A577" s="32">
        <v>4212.0</v>
      </c>
      <c r="B577" s="33">
        <v>17407.392</v>
      </c>
      <c r="C577" s="33">
        <v>-30161.557</v>
      </c>
      <c r="D577" s="33">
        <v>-71.047</v>
      </c>
    </row>
    <row r="578">
      <c r="A578" s="32">
        <v>4213.0</v>
      </c>
      <c r="B578" s="33">
        <v>19484.73</v>
      </c>
      <c r="C578" s="33">
        <v>-30117.354</v>
      </c>
      <c r="D578" s="33">
        <v>-77.836</v>
      </c>
    </row>
    <row r="579">
      <c r="A579" s="32">
        <v>4214.0</v>
      </c>
      <c r="B579" s="33">
        <v>21561.601</v>
      </c>
      <c r="C579" s="33">
        <v>-30419.812</v>
      </c>
      <c r="D579" s="33">
        <v>-89.088</v>
      </c>
    </row>
    <row r="580">
      <c r="A580" s="32">
        <v>4215.0</v>
      </c>
      <c r="B580" s="33">
        <v>23649.203</v>
      </c>
      <c r="C580" s="33">
        <v>-30027.373</v>
      </c>
      <c r="D580" s="33">
        <v>-94.421</v>
      </c>
    </row>
    <row r="581">
      <c r="A581" s="32">
        <v>4216.0</v>
      </c>
      <c r="B581" s="33">
        <v>25732.409</v>
      </c>
      <c r="C581" s="33">
        <v>-29989.302</v>
      </c>
      <c r="D581" s="33">
        <v>-96.113</v>
      </c>
    </row>
    <row r="582">
      <c r="A582" s="32">
        <v>4217.0</v>
      </c>
      <c r="B582" s="33">
        <v>27809.334</v>
      </c>
      <c r="C582" s="33">
        <v>-29939.719</v>
      </c>
      <c r="D582" s="33">
        <v>-95.964</v>
      </c>
    </row>
    <row r="583">
      <c r="A583" s="32">
        <v>4218.0</v>
      </c>
      <c r="B583" s="33">
        <v>29894.021</v>
      </c>
      <c r="C583" s="33">
        <v>-29900.163</v>
      </c>
      <c r="D583" s="33">
        <v>-107.554</v>
      </c>
    </row>
    <row r="584">
      <c r="A584" s="32">
        <v>4219.0</v>
      </c>
      <c r="B584" s="33">
        <v>31971.343</v>
      </c>
      <c r="C584" s="33">
        <v>-29857.114</v>
      </c>
      <c r="D584" s="33">
        <v>-113.351</v>
      </c>
    </row>
    <row r="585">
      <c r="A585" s="32">
        <v>4308.0</v>
      </c>
      <c r="B585" s="33">
        <v>9039.995</v>
      </c>
      <c r="C585" s="33">
        <v>-28259.077</v>
      </c>
      <c r="D585" s="33">
        <v>-33.841</v>
      </c>
    </row>
    <row r="586">
      <c r="A586" s="32">
        <v>4309.0</v>
      </c>
      <c r="B586" s="33">
        <v>11127.337</v>
      </c>
      <c r="C586" s="33">
        <v>-28216.35</v>
      </c>
      <c r="D586" s="33">
        <v>-51.896</v>
      </c>
    </row>
    <row r="587">
      <c r="A587" s="32">
        <v>4310.0</v>
      </c>
      <c r="B587" s="33">
        <v>13204.273</v>
      </c>
      <c r="C587" s="33">
        <v>-28167.479</v>
      </c>
      <c r="D587" s="33">
        <v>-57.375</v>
      </c>
    </row>
    <row r="588">
      <c r="A588" s="32">
        <v>4311.0</v>
      </c>
      <c r="B588" s="33">
        <v>15280.869</v>
      </c>
      <c r="C588" s="33">
        <v>-28130.735</v>
      </c>
      <c r="D588" s="33">
        <v>-59.593</v>
      </c>
    </row>
    <row r="589">
      <c r="A589" s="32">
        <v>4312.0</v>
      </c>
      <c r="B589" s="33">
        <v>17361.305</v>
      </c>
      <c r="C589" s="33">
        <v>-28077.88</v>
      </c>
      <c r="D589" s="33">
        <v>-63.875</v>
      </c>
    </row>
    <row r="590">
      <c r="A590" s="32">
        <v>4313.0</v>
      </c>
      <c r="B590" s="33">
        <v>19444.184</v>
      </c>
      <c r="C590" s="33">
        <v>-28044.56</v>
      </c>
      <c r="D590" s="33">
        <v>-69.838</v>
      </c>
    </row>
    <row r="591">
      <c r="A591" s="32">
        <v>4314.0</v>
      </c>
      <c r="B591" s="33">
        <v>21531.068</v>
      </c>
      <c r="C591" s="33">
        <v>-27997.558</v>
      </c>
      <c r="D591" s="33">
        <v>-79.734</v>
      </c>
    </row>
    <row r="592">
      <c r="A592" s="32">
        <v>4315.0</v>
      </c>
      <c r="B592" s="33">
        <v>23599.413</v>
      </c>
      <c r="C592" s="33">
        <v>-27952.182</v>
      </c>
      <c r="D592" s="33">
        <v>-86.421</v>
      </c>
    </row>
    <row r="593">
      <c r="A593" s="32">
        <v>4317.0</v>
      </c>
      <c r="B593" s="33">
        <v>27754.442</v>
      </c>
      <c r="C593" s="33">
        <v>-27879.897</v>
      </c>
      <c r="D593" s="33">
        <v>-85.785</v>
      </c>
    </row>
    <row r="594">
      <c r="A594" s="32">
        <v>4318.0</v>
      </c>
      <c r="B594" s="33">
        <v>29843.768</v>
      </c>
      <c r="C594" s="33">
        <v>-27822.844</v>
      </c>
      <c r="D594" s="33">
        <v>-85.685</v>
      </c>
    </row>
    <row r="595">
      <c r="A595" s="32">
        <v>4319.0</v>
      </c>
      <c r="B595" s="33">
        <v>31931.291</v>
      </c>
      <c r="C595" s="33">
        <v>-27775.898</v>
      </c>
      <c r="D595" s="33">
        <v>-86.683</v>
      </c>
    </row>
    <row r="596">
      <c r="A596" s="32">
        <v>4408.0</v>
      </c>
      <c r="B596" s="33">
        <v>8998.017</v>
      </c>
      <c r="C596" s="33">
        <v>-26180.37</v>
      </c>
      <c r="D596" s="33">
        <v>-45.668</v>
      </c>
    </row>
    <row r="597">
      <c r="A597" s="32">
        <v>4409.0</v>
      </c>
      <c r="B597" s="33">
        <v>11094.947</v>
      </c>
      <c r="C597" s="33">
        <v>-26132.595</v>
      </c>
      <c r="D597" s="33">
        <v>-49.51</v>
      </c>
    </row>
    <row r="598">
      <c r="A598" s="32">
        <v>4410.0</v>
      </c>
      <c r="B598" s="33">
        <v>13165.815</v>
      </c>
      <c r="C598" s="33">
        <v>-26094.083</v>
      </c>
      <c r="D598" s="33">
        <v>-51.814</v>
      </c>
    </row>
    <row r="599">
      <c r="A599" s="32">
        <v>4411.0</v>
      </c>
      <c r="B599" s="33">
        <v>15238.544</v>
      </c>
      <c r="C599" s="33">
        <v>-26046.679</v>
      </c>
      <c r="D599" s="33">
        <v>-57.718</v>
      </c>
    </row>
    <row r="600">
      <c r="A600" s="32">
        <v>4412.0</v>
      </c>
      <c r="B600" s="33">
        <v>17319.061</v>
      </c>
      <c r="C600" s="33">
        <v>-26004.056</v>
      </c>
      <c r="D600" s="33">
        <v>-60.386</v>
      </c>
    </row>
    <row r="601">
      <c r="A601" s="32">
        <v>4413.0</v>
      </c>
      <c r="B601" s="33">
        <v>19493.79</v>
      </c>
      <c r="C601" s="33">
        <v>-25984.616</v>
      </c>
      <c r="D601" s="33">
        <v>-67.553</v>
      </c>
    </row>
    <row r="602">
      <c r="A602" s="32">
        <v>4414.0</v>
      </c>
      <c r="B602" s="33">
        <v>21477.489</v>
      </c>
      <c r="C602" s="33">
        <v>-25915.021</v>
      </c>
      <c r="D602" s="33">
        <v>-74.24</v>
      </c>
    </row>
    <row r="603">
      <c r="A603" s="32">
        <v>4415.0</v>
      </c>
      <c r="B603" s="33">
        <v>23560.128</v>
      </c>
      <c r="C603" s="33">
        <v>-25873.973</v>
      </c>
      <c r="D603" s="33">
        <v>-74.295</v>
      </c>
    </row>
    <row r="604">
      <c r="A604" s="32">
        <v>4416.0</v>
      </c>
      <c r="B604" s="33">
        <v>25560.277</v>
      </c>
      <c r="C604" s="33">
        <v>-25766.331</v>
      </c>
      <c r="D604" s="33">
        <v>-78.828</v>
      </c>
    </row>
    <row r="605">
      <c r="A605" s="32">
        <v>4417.0</v>
      </c>
      <c r="B605" s="33">
        <v>27745.978</v>
      </c>
      <c r="C605" s="33">
        <v>-25825.994</v>
      </c>
      <c r="D605" s="33">
        <v>-80.08</v>
      </c>
    </row>
    <row r="606">
      <c r="A606" s="32">
        <v>4418.0</v>
      </c>
      <c r="B606" s="33">
        <v>29804.871</v>
      </c>
      <c r="C606" s="33">
        <v>-25732.326</v>
      </c>
      <c r="D606" s="33">
        <v>-73.034</v>
      </c>
    </row>
    <row r="607">
      <c r="A607" s="32">
        <v>4419.0</v>
      </c>
      <c r="B607" s="33">
        <v>31886.784</v>
      </c>
      <c r="C607" s="33">
        <v>-25700.793</v>
      </c>
      <c r="D607" s="33">
        <v>-59.099</v>
      </c>
    </row>
    <row r="608">
      <c r="A608" s="32">
        <v>4508.0</v>
      </c>
      <c r="B608" s="33">
        <v>8952.61</v>
      </c>
      <c r="C608" s="33">
        <v>-24092.629</v>
      </c>
      <c r="D608" s="33">
        <v>-41.366</v>
      </c>
    </row>
    <row r="609">
      <c r="A609" s="32">
        <v>4509.0</v>
      </c>
      <c r="B609" s="33">
        <v>11035.323</v>
      </c>
      <c r="C609" s="33">
        <v>-24054.88</v>
      </c>
      <c r="D609" s="33">
        <v>-45.112</v>
      </c>
    </row>
    <row r="610">
      <c r="A610" s="32">
        <v>4510.0</v>
      </c>
      <c r="B610" s="33">
        <v>13020.013</v>
      </c>
      <c r="C610" s="33">
        <v>-23994.431</v>
      </c>
      <c r="D610" s="33">
        <v>-46.51</v>
      </c>
    </row>
    <row r="611">
      <c r="A611" s="32">
        <v>4511.0</v>
      </c>
      <c r="B611" s="33">
        <v>15193.844</v>
      </c>
      <c r="C611" s="33">
        <v>-23971.415</v>
      </c>
      <c r="D611" s="33">
        <v>-51.344</v>
      </c>
    </row>
    <row r="612">
      <c r="A612" s="32">
        <v>4512.0</v>
      </c>
      <c r="B612" s="33">
        <v>17276.661</v>
      </c>
      <c r="C612" s="33">
        <v>-23926.02</v>
      </c>
      <c r="D612" s="33">
        <v>-54.067</v>
      </c>
    </row>
    <row r="613">
      <c r="A613" s="32">
        <v>4513.0</v>
      </c>
      <c r="B613" s="33">
        <v>19352.969</v>
      </c>
      <c r="C613" s="33">
        <v>-23889.392</v>
      </c>
      <c r="D613" s="33">
        <v>-63.372</v>
      </c>
    </row>
    <row r="614">
      <c r="A614" s="32">
        <v>4514.0</v>
      </c>
      <c r="B614" s="33">
        <v>21382.276</v>
      </c>
      <c r="C614" s="33">
        <v>-23755.536</v>
      </c>
      <c r="D614" s="33">
        <v>-67.281</v>
      </c>
    </row>
    <row r="615">
      <c r="A615" s="32">
        <v>4515.0</v>
      </c>
      <c r="B615" s="33">
        <v>23517.684</v>
      </c>
      <c r="C615" s="33">
        <v>-23792.272</v>
      </c>
      <c r="D615" s="33">
        <v>-75.613</v>
      </c>
    </row>
    <row r="616">
      <c r="A616" s="32">
        <v>4516.0</v>
      </c>
      <c r="B616" s="33">
        <v>25796.161</v>
      </c>
      <c r="C616" s="33">
        <v>-23745.123</v>
      </c>
      <c r="D616" s="33">
        <v>-83.762</v>
      </c>
    </row>
    <row r="617">
      <c r="A617" s="32">
        <v>4517.0</v>
      </c>
      <c r="B617" s="33">
        <v>27654.454</v>
      </c>
      <c r="C617" s="33">
        <v>-23734.168</v>
      </c>
      <c r="D617" s="33">
        <v>-77.625</v>
      </c>
    </row>
    <row r="618">
      <c r="A618" s="32">
        <v>4518.0</v>
      </c>
      <c r="B618" s="33">
        <v>29760.979</v>
      </c>
      <c r="C618" s="33">
        <v>-23668.463</v>
      </c>
      <c r="D618" s="33">
        <v>-61.797</v>
      </c>
    </row>
    <row r="619">
      <c r="A619" s="32">
        <v>4519.0</v>
      </c>
      <c r="B619" s="33">
        <v>31880.005</v>
      </c>
      <c r="C619" s="33">
        <v>-23601.52</v>
      </c>
      <c r="D619" s="33">
        <v>-34.071</v>
      </c>
    </row>
    <row r="620">
      <c r="A620" s="32">
        <v>4609.0</v>
      </c>
      <c r="B620" s="33">
        <v>10997.18</v>
      </c>
      <c r="C620" s="33">
        <v>-21971.027</v>
      </c>
      <c r="D620" s="33">
        <v>-39.488</v>
      </c>
    </row>
    <row r="621">
      <c r="A621" s="32">
        <v>4610.0</v>
      </c>
      <c r="B621" s="33">
        <v>13382.317</v>
      </c>
      <c r="C621" s="33">
        <v>-21923.681</v>
      </c>
      <c r="D621" s="33">
        <v>-41.726</v>
      </c>
    </row>
    <row r="622">
      <c r="A622" s="32">
        <v>4611.0</v>
      </c>
      <c r="B622" s="33">
        <v>15157.017</v>
      </c>
      <c r="C622" s="33">
        <v>-21883.583</v>
      </c>
      <c r="D622" s="33">
        <v>-44.453</v>
      </c>
    </row>
    <row r="623">
      <c r="A623" s="32">
        <v>4612.0</v>
      </c>
      <c r="B623" s="33">
        <v>17241.508</v>
      </c>
      <c r="C623" s="33">
        <v>-21830.966</v>
      </c>
      <c r="D623" s="33">
        <v>-49.628</v>
      </c>
    </row>
    <row r="624">
      <c r="A624" s="32">
        <v>4613.0</v>
      </c>
      <c r="B624" s="33">
        <v>19311.73</v>
      </c>
      <c r="C624" s="33">
        <v>-21798.245</v>
      </c>
      <c r="D624" s="33">
        <v>-60.219</v>
      </c>
    </row>
    <row r="625">
      <c r="A625" s="32">
        <v>4614.0</v>
      </c>
      <c r="B625" s="33">
        <v>21391.069</v>
      </c>
      <c r="C625" s="33">
        <v>-21805.954</v>
      </c>
      <c r="D625" s="33">
        <v>-63.14</v>
      </c>
    </row>
    <row r="626">
      <c r="A626" s="32">
        <v>4615.0</v>
      </c>
      <c r="B626" s="33">
        <v>23486.989</v>
      </c>
      <c r="C626" s="33">
        <v>-21712.794</v>
      </c>
      <c r="D626" s="33">
        <v>-65.534</v>
      </c>
    </row>
    <row r="627">
      <c r="A627" s="32">
        <v>4616.0</v>
      </c>
      <c r="B627" s="33">
        <v>25777.391</v>
      </c>
      <c r="C627" s="33">
        <v>-21424.758</v>
      </c>
      <c r="D627" s="33">
        <v>-74.689</v>
      </c>
    </row>
    <row r="628">
      <c r="A628" s="32">
        <v>4617.0</v>
      </c>
      <c r="B628" s="33">
        <v>27606.687</v>
      </c>
      <c r="C628" s="33">
        <v>-21606.805</v>
      </c>
      <c r="D628" s="33">
        <v>-62.348</v>
      </c>
    </row>
    <row r="629">
      <c r="A629" s="32">
        <v>4618.0</v>
      </c>
      <c r="B629" s="33">
        <v>29688.578</v>
      </c>
      <c r="C629" s="33">
        <v>-21596.127</v>
      </c>
      <c r="D629" s="33">
        <v>-56.748</v>
      </c>
    </row>
    <row r="630">
      <c r="A630" s="32">
        <v>4710.0</v>
      </c>
      <c r="B630" s="33">
        <v>13024.312</v>
      </c>
      <c r="C630" s="33">
        <v>-19857.355</v>
      </c>
      <c r="D630" s="33">
        <v>-36.902</v>
      </c>
    </row>
    <row r="631">
      <c r="A631" s="32">
        <v>4711.0</v>
      </c>
      <c r="B631" s="33">
        <v>15114.258</v>
      </c>
      <c r="C631" s="33">
        <v>-19809.296</v>
      </c>
      <c r="D631" s="33">
        <v>-40.125</v>
      </c>
    </row>
    <row r="632">
      <c r="A632" s="32">
        <v>4712.0</v>
      </c>
      <c r="B632" s="33">
        <v>17158.701</v>
      </c>
      <c r="C632" s="33">
        <v>-19771.989</v>
      </c>
      <c r="D632" s="33">
        <v>-45.363</v>
      </c>
    </row>
    <row r="633">
      <c r="A633" s="32">
        <v>4713.0</v>
      </c>
      <c r="B633" s="33">
        <v>19275.555</v>
      </c>
      <c r="C633" s="33">
        <v>-19716.857</v>
      </c>
      <c r="D633" s="33">
        <v>-55.409</v>
      </c>
    </row>
    <row r="634">
      <c r="A634" s="32">
        <v>4714.0</v>
      </c>
      <c r="B634" s="33">
        <v>21348.835</v>
      </c>
      <c r="C634" s="33">
        <v>-19671.623</v>
      </c>
      <c r="D634" s="33">
        <v>-58.321</v>
      </c>
    </row>
    <row r="635">
      <c r="A635" s="32">
        <v>4716.0</v>
      </c>
      <c r="B635" s="33">
        <v>25502.511</v>
      </c>
      <c r="C635" s="33">
        <v>-19587.128</v>
      </c>
      <c r="D635" s="33">
        <v>-71.473</v>
      </c>
    </row>
    <row r="636">
      <c r="A636" s="32">
        <v>4717.0</v>
      </c>
      <c r="B636" s="33">
        <v>27587.964</v>
      </c>
      <c r="C636" s="33">
        <v>-19546.497</v>
      </c>
      <c r="D636" s="33">
        <v>-51.004</v>
      </c>
    </row>
    <row r="637">
      <c r="A637" s="32">
        <v>4811.0</v>
      </c>
      <c r="B637" s="33">
        <v>15063.466</v>
      </c>
      <c r="C637" s="33">
        <v>-17729.909</v>
      </c>
      <c r="D637" s="33">
        <v>-36.26</v>
      </c>
    </row>
    <row r="638">
      <c r="A638" s="32">
        <v>4812.0</v>
      </c>
      <c r="B638" s="33">
        <v>17139.78</v>
      </c>
      <c r="C638" s="33">
        <v>-17684.108</v>
      </c>
      <c r="D638" s="33">
        <v>-40.576</v>
      </c>
    </row>
    <row r="639">
      <c r="A639" s="32">
        <v>4813.0</v>
      </c>
      <c r="B639" s="33">
        <v>19224.094</v>
      </c>
      <c r="C639" s="33">
        <v>-17636.059</v>
      </c>
      <c r="D639" s="33">
        <v>-49.936</v>
      </c>
    </row>
    <row r="640">
      <c r="A640" s="32">
        <v>4814.0</v>
      </c>
      <c r="B640" s="33">
        <v>21302.617</v>
      </c>
      <c r="C640" s="33">
        <v>-17591.816</v>
      </c>
      <c r="D640" s="33">
        <v>-54.276</v>
      </c>
    </row>
    <row r="641">
      <c r="A641" s="32">
        <v>4815.0</v>
      </c>
      <c r="B641" s="33">
        <v>24132.812</v>
      </c>
      <c r="C641" s="33">
        <v>-17647.231</v>
      </c>
      <c r="D641" s="33">
        <v>-62.125</v>
      </c>
    </row>
    <row r="642">
      <c r="A642" s="32">
        <v>5401.0</v>
      </c>
      <c r="B642" s="33">
        <v>-8014.063</v>
      </c>
      <c r="C642" s="33">
        <v>18093.231</v>
      </c>
      <c r="D642" s="33">
        <v>190.462</v>
      </c>
    </row>
    <row r="643">
      <c r="A643" s="32">
        <v>5402.0</v>
      </c>
      <c r="B643" s="33">
        <v>-7604.219</v>
      </c>
      <c r="C643" s="33">
        <v>17992.63</v>
      </c>
      <c r="D643" s="33">
        <v>183.728</v>
      </c>
    </row>
    <row r="644">
      <c r="A644" s="32">
        <v>5403.0</v>
      </c>
      <c r="B644" s="33">
        <v>-7198.168</v>
      </c>
      <c r="C644" s="33">
        <v>17966.232</v>
      </c>
      <c r="D644" s="33">
        <v>174.983</v>
      </c>
    </row>
    <row r="645">
      <c r="A645" s="32">
        <v>5405.0</v>
      </c>
      <c r="B645" s="33">
        <v>-6411.184</v>
      </c>
      <c r="C645" s="33">
        <v>18252.689</v>
      </c>
      <c r="D645" s="33">
        <v>163.106</v>
      </c>
    </row>
    <row r="646">
      <c r="A646" s="32">
        <v>5406.0</v>
      </c>
      <c r="B646" s="33">
        <v>-6110.275</v>
      </c>
      <c r="C646" s="33">
        <v>18529.501</v>
      </c>
      <c r="D646" s="33">
        <v>156.401</v>
      </c>
    </row>
    <row r="647">
      <c r="A647" s="32">
        <v>5407.0</v>
      </c>
      <c r="B647" s="33">
        <v>-5884.394</v>
      </c>
      <c r="C647" s="33">
        <v>18886.811</v>
      </c>
      <c r="D647" s="33">
        <v>158.962</v>
      </c>
    </row>
    <row r="648">
      <c r="A648" s="32">
        <v>5501.0</v>
      </c>
      <c r="B648" s="33">
        <v>-8264.55</v>
      </c>
      <c r="C648" s="33">
        <v>17788.771</v>
      </c>
      <c r="D648" s="33">
        <v>192.501</v>
      </c>
    </row>
    <row r="649">
      <c r="A649" s="32">
        <v>5502.0</v>
      </c>
      <c r="B649" s="33">
        <v>-7879.978</v>
      </c>
      <c r="C649" s="33">
        <v>17626.881</v>
      </c>
      <c r="D649" s="33">
        <v>185.288</v>
      </c>
    </row>
    <row r="650">
      <c r="A650" s="32">
        <v>5503.0</v>
      </c>
      <c r="B650" s="33">
        <v>-7469.22</v>
      </c>
      <c r="C650" s="33">
        <v>17555.941</v>
      </c>
      <c r="D650" s="33">
        <v>179.667</v>
      </c>
    </row>
    <row r="651">
      <c r="A651" s="32">
        <v>5505.0</v>
      </c>
      <c r="B651" s="33">
        <v>-6624.938</v>
      </c>
      <c r="C651" s="33">
        <v>17630.976</v>
      </c>
      <c r="D651" s="33">
        <v>162.601</v>
      </c>
    </row>
    <row r="652">
      <c r="A652" s="32">
        <v>5508.0</v>
      </c>
      <c r="B652" s="33">
        <v>-5630.789</v>
      </c>
      <c r="C652" s="33">
        <v>18438.059</v>
      </c>
      <c r="D652" s="33">
        <v>150.497</v>
      </c>
    </row>
    <row r="653">
      <c r="A653" s="32">
        <v>5509.0</v>
      </c>
      <c r="B653" s="33">
        <v>-5471.814</v>
      </c>
      <c r="C653" s="33">
        <v>18786.321</v>
      </c>
      <c r="D653" s="33">
        <v>152.556</v>
      </c>
    </row>
    <row r="654">
      <c r="A654" s="32">
        <v>5601.0</v>
      </c>
      <c r="B654" s="33">
        <v>-8528.019</v>
      </c>
      <c r="C654" s="33">
        <v>17454.937</v>
      </c>
      <c r="D654" s="33">
        <v>206.53</v>
      </c>
    </row>
    <row r="655">
      <c r="A655" s="32">
        <v>5602.0</v>
      </c>
      <c r="B655" s="33">
        <v>-8146.756</v>
      </c>
      <c r="C655" s="33">
        <v>17328.909</v>
      </c>
      <c r="D655" s="33">
        <v>199.862</v>
      </c>
    </row>
    <row r="656">
      <c r="A656" s="32">
        <v>5603.0</v>
      </c>
      <c r="B656" s="33">
        <v>-7810.518</v>
      </c>
      <c r="C656" s="33">
        <v>17188.499</v>
      </c>
      <c r="D656" s="33">
        <v>189.552</v>
      </c>
    </row>
    <row r="657">
      <c r="A657" s="32">
        <v>5604.0</v>
      </c>
      <c r="B657" s="33">
        <v>-7334.458</v>
      </c>
      <c r="C657" s="33">
        <v>17128.923</v>
      </c>
      <c r="D657" s="33">
        <v>177.727</v>
      </c>
    </row>
    <row r="658">
      <c r="A658" s="32">
        <v>5605.0</v>
      </c>
      <c r="B658" s="33">
        <v>-6863.154</v>
      </c>
      <c r="C658" s="33">
        <v>17235.068</v>
      </c>
      <c r="D658" s="33">
        <v>165.454</v>
      </c>
    </row>
    <row r="659">
      <c r="A659" s="32">
        <v>5606.0</v>
      </c>
      <c r="B659" s="33">
        <v>-6515.293</v>
      </c>
      <c r="C659" s="33">
        <v>17277.281</v>
      </c>
      <c r="D659" s="33">
        <v>158.024</v>
      </c>
    </row>
    <row r="660">
      <c r="A660" s="32">
        <v>5607.0</v>
      </c>
      <c r="B660" s="33">
        <v>-6133.682</v>
      </c>
      <c r="C660" s="33">
        <v>17437.864</v>
      </c>
      <c r="D660" s="33">
        <v>150.584</v>
      </c>
    </row>
    <row r="661">
      <c r="A661" s="32">
        <v>5608.0</v>
      </c>
      <c r="B661" s="33">
        <v>-5775.102</v>
      </c>
      <c r="C661" s="33">
        <v>17685.237</v>
      </c>
      <c r="D661" s="33">
        <v>151.555</v>
      </c>
    </row>
    <row r="662">
      <c r="A662" s="32">
        <v>5609.0</v>
      </c>
      <c r="B662" s="33">
        <v>-5484.524</v>
      </c>
      <c r="C662" s="33">
        <v>17970.649</v>
      </c>
      <c r="D662" s="33">
        <v>150.792</v>
      </c>
    </row>
    <row r="663">
      <c r="A663" s="32">
        <v>5610.0</v>
      </c>
      <c r="B663" s="33">
        <v>-5232.049</v>
      </c>
      <c r="C663" s="33">
        <v>18323.59</v>
      </c>
      <c r="D663" s="33">
        <v>140.707</v>
      </c>
    </row>
    <row r="664">
      <c r="A664" s="32">
        <v>5611.0</v>
      </c>
      <c r="B664" s="33">
        <v>-5057.15</v>
      </c>
      <c r="C664" s="33">
        <v>18694.612</v>
      </c>
      <c r="D664" s="33">
        <v>141.798</v>
      </c>
    </row>
    <row r="665">
      <c r="A665" s="32">
        <v>5701.0</v>
      </c>
      <c r="B665" s="33">
        <v>-8747.185</v>
      </c>
      <c r="C665" s="33">
        <v>17192.036</v>
      </c>
      <c r="D665" s="33">
        <v>224.909</v>
      </c>
    </row>
    <row r="666">
      <c r="A666" s="32">
        <v>5702.0</v>
      </c>
      <c r="B666" s="33">
        <v>-8383.433</v>
      </c>
      <c r="C666" s="33">
        <v>16937.624</v>
      </c>
      <c r="D666" s="33">
        <v>212.519</v>
      </c>
    </row>
    <row r="667">
      <c r="A667" s="32">
        <v>5703.0</v>
      </c>
      <c r="B667" s="33">
        <v>-8005.163</v>
      </c>
      <c r="C667" s="33">
        <v>16799.158</v>
      </c>
      <c r="D667" s="33">
        <v>201.871</v>
      </c>
    </row>
    <row r="668">
      <c r="A668" s="32">
        <v>5704.0</v>
      </c>
      <c r="B668" s="33">
        <v>-7589.72</v>
      </c>
      <c r="C668" s="33">
        <v>16720.659</v>
      </c>
      <c r="D668" s="33">
        <v>197.145</v>
      </c>
    </row>
    <row r="669">
      <c r="A669" s="32">
        <v>5705.0</v>
      </c>
      <c r="B669" s="33">
        <v>-7193.653</v>
      </c>
      <c r="C669" s="33">
        <v>16708.687</v>
      </c>
      <c r="D669" s="33">
        <v>179.845</v>
      </c>
    </row>
    <row r="670">
      <c r="A670" s="32">
        <v>5706.0</v>
      </c>
      <c r="B670" s="33">
        <v>-6737.057</v>
      </c>
      <c r="C670" s="33">
        <v>16711.034</v>
      </c>
      <c r="D670" s="33">
        <v>172.326</v>
      </c>
    </row>
    <row r="671">
      <c r="A671" s="32">
        <v>5707.0</v>
      </c>
      <c r="B671" s="33">
        <v>-6361.951</v>
      </c>
      <c r="C671" s="33">
        <v>16872.491</v>
      </c>
      <c r="D671" s="33">
        <v>161.285</v>
      </c>
    </row>
    <row r="672">
      <c r="A672" s="32">
        <v>5708.0</v>
      </c>
      <c r="B672" s="33">
        <v>-5975.268</v>
      </c>
      <c r="C672" s="33">
        <v>16996.532</v>
      </c>
      <c r="D672" s="33">
        <v>150.408</v>
      </c>
    </row>
    <row r="673">
      <c r="A673" s="32">
        <v>5709.0</v>
      </c>
      <c r="B673" s="33">
        <v>-5617.507</v>
      </c>
      <c r="C673" s="33">
        <v>17268.539</v>
      </c>
      <c r="D673" s="33">
        <v>141.3</v>
      </c>
    </row>
    <row r="674">
      <c r="A674" s="32">
        <v>5710.0</v>
      </c>
      <c r="B674" s="33">
        <v>-5319.619</v>
      </c>
      <c r="C674" s="33">
        <v>17530.855</v>
      </c>
      <c r="D674" s="33">
        <v>141.378</v>
      </c>
    </row>
    <row r="675">
      <c r="A675" s="32">
        <v>5711.0</v>
      </c>
      <c r="B675" s="33">
        <v>-5040.906</v>
      </c>
      <c r="C675" s="33">
        <v>17855.154</v>
      </c>
      <c r="D675" s="33">
        <v>139.012</v>
      </c>
    </row>
    <row r="676">
      <c r="A676" s="32">
        <v>5712.0</v>
      </c>
      <c r="B676" s="33">
        <v>-4814.191</v>
      </c>
      <c r="C676" s="33">
        <v>18208.584</v>
      </c>
      <c r="D676" s="33">
        <v>133.885</v>
      </c>
    </row>
    <row r="677">
      <c r="A677" s="32">
        <v>5713.0</v>
      </c>
      <c r="B677" s="33">
        <v>-4644.287</v>
      </c>
      <c r="C677" s="33">
        <v>18601.707</v>
      </c>
      <c r="D677" s="33">
        <v>131.514</v>
      </c>
    </row>
    <row r="678">
      <c r="A678" s="32">
        <v>5802.0</v>
      </c>
      <c r="B678" s="33">
        <v>-8711.373</v>
      </c>
      <c r="C678" s="33">
        <v>16355.686</v>
      </c>
      <c r="D678" s="33">
        <v>236.273</v>
      </c>
    </row>
    <row r="679">
      <c r="A679" s="32">
        <v>5804.0</v>
      </c>
      <c r="B679" s="33">
        <v>-7378.331</v>
      </c>
      <c r="C679" s="33">
        <v>16018.07</v>
      </c>
      <c r="D679" s="33">
        <v>205.07</v>
      </c>
    </row>
    <row r="680">
      <c r="A680" s="32">
        <v>5805.0</v>
      </c>
      <c r="B680" s="33">
        <v>-6683.076</v>
      </c>
      <c r="C680" s="33">
        <v>16108.316</v>
      </c>
      <c r="D680" s="33">
        <v>174.848</v>
      </c>
    </row>
    <row r="681">
      <c r="A681" s="32">
        <v>5806.0</v>
      </c>
      <c r="B681" s="33">
        <v>-6150.532</v>
      </c>
      <c r="C681" s="33">
        <v>16283.197</v>
      </c>
      <c r="D681" s="33">
        <v>163.277</v>
      </c>
    </row>
    <row r="682">
      <c r="A682" s="32">
        <v>5807.0</v>
      </c>
      <c r="B682" s="33">
        <v>-5579.98</v>
      </c>
      <c r="C682" s="33">
        <v>16544.812</v>
      </c>
      <c r="D682" s="33">
        <v>149.476</v>
      </c>
    </row>
    <row r="683">
      <c r="A683" s="32">
        <v>5808.0</v>
      </c>
      <c r="B683" s="33">
        <v>-5080.379</v>
      </c>
      <c r="C683" s="33">
        <v>16859.044</v>
      </c>
      <c r="D683" s="33">
        <v>136.818</v>
      </c>
    </row>
    <row r="684">
      <c r="A684" s="32">
        <v>5809.0</v>
      </c>
      <c r="B684" s="33">
        <v>-4633.061</v>
      </c>
      <c r="C684" s="33">
        <v>17354.47</v>
      </c>
      <c r="D684" s="33">
        <v>127.026</v>
      </c>
    </row>
    <row r="685">
      <c r="A685" s="32">
        <v>5810.0</v>
      </c>
      <c r="B685" s="33">
        <v>-4282.896</v>
      </c>
      <c r="C685" s="33">
        <v>17876.316</v>
      </c>
      <c r="D685" s="33">
        <v>125.326</v>
      </c>
    </row>
    <row r="686">
      <c r="A686" s="32">
        <v>5904.0</v>
      </c>
      <c r="B686" s="33">
        <v>-7539.158</v>
      </c>
      <c r="C686" s="33">
        <v>15611.248</v>
      </c>
      <c r="D686" s="33">
        <v>217.134</v>
      </c>
    </row>
    <row r="687">
      <c r="A687" s="32">
        <v>5905.0</v>
      </c>
      <c r="B687" s="33">
        <v>-7029.076</v>
      </c>
      <c r="C687" s="33">
        <v>15336.297</v>
      </c>
      <c r="D687" s="33">
        <v>191.174</v>
      </c>
    </row>
    <row r="688">
      <c r="A688" s="32">
        <v>5906.0</v>
      </c>
      <c r="B688" s="33">
        <v>-6556.229</v>
      </c>
      <c r="C688" s="33">
        <v>15502.741</v>
      </c>
      <c r="D688" s="33">
        <v>169.583</v>
      </c>
    </row>
    <row r="689">
      <c r="A689" s="32">
        <v>5907.0</v>
      </c>
      <c r="B689" s="33">
        <v>-5943.735</v>
      </c>
      <c r="C689" s="33">
        <v>15688.914</v>
      </c>
      <c r="D689" s="33">
        <v>164.726</v>
      </c>
    </row>
    <row r="690">
      <c r="A690" s="32">
        <v>5908.0</v>
      </c>
      <c r="B690" s="33">
        <v>-5368.407</v>
      </c>
      <c r="C690" s="33">
        <v>15946.082</v>
      </c>
      <c r="D690" s="33">
        <v>143.706</v>
      </c>
    </row>
    <row r="691">
      <c r="A691" s="32">
        <v>5909.0</v>
      </c>
      <c r="B691" s="33">
        <v>-4838.367</v>
      </c>
      <c r="C691" s="33">
        <v>16285.96</v>
      </c>
      <c r="D691" s="33">
        <v>130.469</v>
      </c>
    </row>
    <row r="692">
      <c r="A692" s="32">
        <v>5910.0</v>
      </c>
      <c r="B692" s="33">
        <v>-4367.055</v>
      </c>
      <c r="C692" s="33">
        <v>16705.103</v>
      </c>
      <c r="D692" s="33">
        <v>123.872</v>
      </c>
    </row>
    <row r="693">
      <c r="A693" s="32">
        <v>5911.0</v>
      </c>
      <c r="B693" s="33">
        <v>-3969.803</v>
      </c>
      <c r="C693" s="33">
        <v>17187.274</v>
      </c>
      <c r="D693" s="33">
        <v>116.087</v>
      </c>
    </row>
    <row r="694">
      <c r="A694" s="32">
        <v>5912.0</v>
      </c>
      <c r="B694" s="33">
        <v>-3649.282</v>
      </c>
      <c r="C694" s="33">
        <v>17728.154</v>
      </c>
      <c r="D694" s="33">
        <v>114.974</v>
      </c>
    </row>
    <row r="695">
      <c r="A695" s="32">
        <v>5913.0</v>
      </c>
      <c r="B695" s="33">
        <v>-3415.727</v>
      </c>
      <c r="C695" s="33">
        <v>18310.273</v>
      </c>
      <c r="D695" s="33">
        <v>109.624</v>
      </c>
    </row>
    <row r="696">
      <c r="A696" s="32">
        <v>6008.0</v>
      </c>
      <c r="B696" s="33">
        <v>-5416.519</v>
      </c>
      <c r="C696" s="33">
        <v>15237.95</v>
      </c>
      <c r="D696" s="33">
        <v>146.571</v>
      </c>
    </row>
    <row r="697">
      <c r="A697" s="32">
        <v>6010.0</v>
      </c>
      <c r="B697" s="33">
        <v>-4363.399</v>
      </c>
      <c r="C697" s="33">
        <v>15857.459</v>
      </c>
      <c r="D697" s="33">
        <v>127.413</v>
      </c>
    </row>
    <row r="698">
      <c r="A698" s="32">
        <v>6011.0</v>
      </c>
      <c r="B698" s="33">
        <v>-3886.995</v>
      </c>
      <c r="C698" s="33">
        <v>16294.603</v>
      </c>
      <c r="D698" s="33">
        <v>114.816</v>
      </c>
    </row>
    <row r="699">
      <c r="A699" s="32">
        <v>6012.0</v>
      </c>
      <c r="B699" s="33">
        <v>-3498.8</v>
      </c>
      <c r="C699" s="33">
        <v>16767.261</v>
      </c>
      <c r="D699" s="33">
        <v>110.513</v>
      </c>
    </row>
    <row r="700">
      <c r="A700" s="32">
        <v>6013.0</v>
      </c>
      <c r="B700" s="33">
        <v>-3165.297</v>
      </c>
      <c r="C700" s="33">
        <v>17298.371</v>
      </c>
      <c r="D700" s="33">
        <v>105.605</v>
      </c>
    </row>
    <row r="701">
      <c r="A701" s="32">
        <v>6014.0</v>
      </c>
      <c r="B701" s="33">
        <v>-2901.122</v>
      </c>
      <c r="C701" s="33">
        <v>17874.609</v>
      </c>
      <c r="D701" s="33">
        <v>101.107</v>
      </c>
    </row>
    <row r="702">
      <c r="A702" s="32">
        <v>6109.0</v>
      </c>
      <c r="B702" s="33">
        <v>-5222.041</v>
      </c>
      <c r="C702" s="33">
        <v>14626.235</v>
      </c>
      <c r="D702" s="33">
        <v>135.748</v>
      </c>
    </row>
    <row r="703">
      <c r="A703" s="32">
        <v>6110.0</v>
      </c>
      <c r="B703" s="33">
        <v>-4661.997</v>
      </c>
      <c r="C703" s="33">
        <v>14899.5</v>
      </c>
      <c r="D703" s="33">
        <v>132.928</v>
      </c>
    </row>
    <row r="704">
      <c r="A704" s="32">
        <v>6111.0</v>
      </c>
      <c r="B704" s="33">
        <v>-4134.678</v>
      </c>
      <c r="C704" s="33">
        <v>15239.997</v>
      </c>
      <c r="D704" s="33">
        <v>124.984</v>
      </c>
    </row>
    <row r="705">
      <c r="A705" s="32">
        <v>6112.0</v>
      </c>
      <c r="B705" s="33">
        <v>-3649.224</v>
      </c>
      <c r="C705" s="33">
        <v>15646.287</v>
      </c>
      <c r="D705" s="33">
        <v>115.724</v>
      </c>
    </row>
    <row r="706">
      <c r="A706" s="32">
        <v>6113.0</v>
      </c>
      <c r="B706" s="33">
        <v>-3221.668</v>
      </c>
      <c r="C706" s="33">
        <v>16098.834</v>
      </c>
      <c r="D706" s="33">
        <v>108.655</v>
      </c>
    </row>
    <row r="707">
      <c r="A707" s="32">
        <v>6114.0</v>
      </c>
      <c r="B707" s="33">
        <v>-2847.008</v>
      </c>
      <c r="C707" s="33">
        <v>16604.056</v>
      </c>
      <c r="D707" s="33">
        <v>100.324</v>
      </c>
    </row>
    <row r="708">
      <c r="A708" s="32">
        <v>6116.0</v>
      </c>
      <c r="B708" s="33">
        <v>-2284.874</v>
      </c>
      <c r="C708" s="33">
        <v>17727.668</v>
      </c>
      <c r="D708" s="33">
        <v>87.739</v>
      </c>
    </row>
    <row r="709">
      <c r="A709" s="32">
        <v>6407.0</v>
      </c>
      <c r="B709" s="33">
        <v>5952.507</v>
      </c>
      <c r="C709" s="33">
        <v>19538.191</v>
      </c>
      <c r="D709" s="33">
        <v>-19.749</v>
      </c>
    </row>
    <row r="710">
      <c r="A710" s="32">
        <v>6408.0</v>
      </c>
      <c r="B710" s="33">
        <v>8032.908</v>
      </c>
      <c r="C710" s="33">
        <v>19586.898</v>
      </c>
      <c r="D710" s="33">
        <v>-29.916</v>
      </c>
    </row>
    <row r="711">
      <c r="A711" s="32">
        <v>6409.0</v>
      </c>
      <c r="B711" s="33">
        <v>10142.213</v>
      </c>
      <c r="C711" s="33">
        <v>19628.774</v>
      </c>
      <c r="D711" s="33">
        <v>-35.705</v>
      </c>
    </row>
    <row r="712">
      <c r="A712" s="32">
        <v>6506.0</v>
      </c>
      <c r="B712" s="33">
        <v>3831.883</v>
      </c>
      <c r="C712" s="33">
        <v>21574.949</v>
      </c>
      <c r="D712" s="33">
        <v>-18.275</v>
      </c>
    </row>
    <row r="713">
      <c r="A713" s="32">
        <v>6507.0</v>
      </c>
      <c r="B713" s="33">
        <v>5910.729</v>
      </c>
      <c r="C713" s="33">
        <v>21616.538</v>
      </c>
      <c r="D713" s="33">
        <v>-26.742</v>
      </c>
    </row>
    <row r="714">
      <c r="A714" s="32">
        <v>6508.0</v>
      </c>
      <c r="B714" s="33">
        <v>7988.853</v>
      </c>
      <c r="C714" s="33">
        <v>21667.457</v>
      </c>
      <c r="D714" s="33">
        <v>-34.876</v>
      </c>
    </row>
    <row r="715">
      <c r="A715" s="32">
        <v>6509.0</v>
      </c>
      <c r="B715" s="33">
        <v>10068.854</v>
      </c>
      <c r="C715" s="33">
        <v>21707.834</v>
      </c>
      <c r="D715" s="33">
        <v>-42.333</v>
      </c>
    </row>
    <row r="716">
      <c r="A716" s="32">
        <v>6510.0</v>
      </c>
      <c r="B716" s="33">
        <v>12149.176</v>
      </c>
      <c r="C716" s="33">
        <v>21753.0</v>
      </c>
      <c r="D716" s="33">
        <v>-46.315</v>
      </c>
    </row>
    <row r="717">
      <c r="A717" s="32">
        <v>6511.0</v>
      </c>
      <c r="B717" s="33">
        <v>14213.079</v>
      </c>
      <c r="C717" s="33">
        <v>21826.239</v>
      </c>
      <c r="D717" s="33">
        <v>-49.295</v>
      </c>
    </row>
    <row r="718">
      <c r="A718" s="32">
        <v>6605.0</v>
      </c>
      <c r="B718" s="33">
        <v>1705.66</v>
      </c>
      <c r="C718" s="33">
        <v>23615.762</v>
      </c>
      <c r="D718" s="33">
        <v>-10.701</v>
      </c>
    </row>
    <row r="719">
      <c r="A719" s="32">
        <v>6606.0</v>
      </c>
      <c r="B719" s="33">
        <v>3786.979</v>
      </c>
      <c r="C719" s="33">
        <v>23657.286</v>
      </c>
      <c r="D719" s="33">
        <v>-32.44</v>
      </c>
    </row>
    <row r="720">
      <c r="A720" s="32">
        <v>6607.0</v>
      </c>
      <c r="B720" s="33">
        <v>5862.515</v>
      </c>
      <c r="C720" s="33">
        <v>23701.54</v>
      </c>
      <c r="D720" s="33">
        <v>-36.483</v>
      </c>
    </row>
    <row r="721">
      <c r="A721" s="32">
        <v>6608.0</v>
      </c>
      <c r="B721" s="33">
        <v>7944.993</v>
      </c>
      <c r="C721" s="33">
        <v>23745.801</v>
      </c>
      <c r="D721" s="33">
        <v>-40.798</v>
      </c>
    </row>
    <row r="722">
      <c r="A722" s="32">
        <v>6609.0</v>
      </c>
      <c r="B722" s="33">
        <v>10029.607</v>
      </c>
      <c r="C722" s="33">
        <v>23780.732</v>
      </c>
      <c r="D722" s="33">
        <v>-47.532</v>
      </c>
    </row>
    <row r="723">
      <c r="A723" s="32">
        <v>6610.0</v>
      </c>
      <c r="B723" s="33">
        <v>12105.22</v>
      </c>
      <c r="C723" s="33">
        <v>23838.532</v>
      </c>
      <c r="D723" s="33">
        <v>-53.844</v>
      </c>
    </row>
    <row r="724">
      <c r="A724" s="32">
        <v>6611.0</v>
      </c>
      <c r="B724" s="33">
        <v>14233.731</v>
      </c>
      <c r="C724" s="33">
        <v>23883.334</v>
      </c>
      <c r="D724" s="33">
        <v>-58.21</v>
      </c>
    </row>
    <row r="725">
      <c r="A725" s="32">
        <v>6612.0</v>
      </c>
      <c r="B725" s="33">
        <v>16260.476</v>
      </c>
      <c r="C725" s="33">
        <v>24086.644</v>
      </c>
      <c r="D725" s="33">
        <v>-62.294</v>
      </c>
    </row>
    <row r="726">
      <c r="A726" s="32">
        <v>6704.0</v>
      </c>
      <c r="B726" s="33">
        <v>-404.753</v>
      </c>
      <c r="C726" s="33">
        <v>25552.325</v>
      </c>
      <c r="D726" s="33">
        <v>-7.079</v>
      </c>
    </row>
    <row r="727">
      <c r="A727" s="32">
        <v>6705.0</v>
      </c>
      <c r="B727" s="33">
        <v>1661.254</v>
      </c>
      <c r="C727" s="33">
        <v>25697.107</v>
      </c>
      <c r="D727" s="33">
        <v>-28.125</v>
      </c>
    </row>
    <row r="728">
      <c r="A728" s="32">
        <v>6706.0</v>
      </c>
      <c r="B728" s="33">
        <v>3743.74</v>
      </c>
      <c r="C728" s="33">
        <v>25734.435</v>
      </c>
      <c r="D728" s="33">
        <v>-39.467</v>
      </c>
    </row>
    <row r="729">
      <c r="A729" s="32">
        <v>6707.0</v>
      </c>
      <c r="B729" s="33">
        <v>5820.096</v>
      </c>
      <c r="C729" s="33">
        <v>25779.907</v>
      </c>
      <c r="D729" s="33">
        <v>-41.686</v>
      </c>
    </row>
    <row r="730">
      <c r="A730" s="32">
        <v>6708.0</v>
      </c>
      <c r="B730" s="33">
        <v>7903.818</v>
      </c>
      <c r="C730" s="33">
        <v>25827.707</v>
      </c>
      <c r="D730" s="33">
        <v>-46.928</v>
      </c>
    </row>
    <row r="731">
      <c r="A731" s="32">
        <v>6709.0</v>
      </c>
      <c r="B731" s="33">
        <v>9990.872</v>
      </c>
      <c r="C731" s="33">
        <v>25870.963</v>
      </c>
      <c r="D731" s="33">
        <v>-52.787</v>
      </c>
    </row>
    <row r="732">
      <c r="A732" s="32">
        <v>6710.0</v>
      </c>
      <c r="B732" s="33">
        <v>12062.507</v>
      </c>
      <c r="C732" s="33">
        <v>25913.861</v>
      </c>
      <c r="D732" s="33">
        <v>-60.377</v>
      </c>
    </row>
    <row r="733">
      <c r="A733" s="32">
        <v>6711.0</v>
      </c>
      <c r="B733" s="33">
        <v>14143.577</v>
      </c>
      <c r="C733" s="33">
        <v>25960.115</v>
      </c>
      <c r="D733" s="33">
        <v>-66.104</v>
      </c>
    </row>
    <row r="734">
      <c r="A734" s="32">
        <v>6712.0</v>
      </c>
      <c r="B734" s="33">
        <v>16224.311</v>
      </c>
      <c r="C734" s="33">
        <v>25991.272</v>
      </c>
      <c r="D734" s="33">
        <v>-71.147</v>
      </c>
    </row>
    <row r="735">
      <c r="A735" s="32">
        <v>6713.0</v>
      </c>
      <c r="B735" s="33">
        <v>18100.389</v>
      </c>
      <c r="C735" s="33">
        <v>26052.724</v>
      </c>
      <c r="D735" s="33">
        <v>-73.429</v>
      </c>
    </row>
    <row r="736">
      <c r="A736" s="32">
        <v>6803.0</v>
      </c>
      <c r="B736" s="33">
        <v>-2530.657</v>
      </c>
      <c r="C736" s="33">
        <v>27694.505</v>
      </c>
      <c r="D736" s="33">
        <v>27.219</v>
      </c>
    </row>
    <row r="737">
      <c r="A737" s="32">
        <v>6804.0</v>
      </c>
      <c r="B737" s="33">
        <v>-461.813</v>
      </c>
      <c r="C737" s="33">
        <v>27721.213</v>
      </c>
      <c r="D737" s="33">
        <v>-21.133</v>
      </c>
    </row>
    <row r="738">
      <c r="A738" s="32">
        <v>6805.0</v>
      </c>
      <c r="B738" s="33">
        <v>1620.657</v>
      </c>
      <c r="C738" s="33">
        <v>27775.257</v>
      </c>
      <c r="D738" s="33">
        <v>-40.228</v>
      </c>
    </row>
    <row r="739">
      <c r="A739" s="32">
        <v>6806.0</v>
      </c>
      <c r="B739" s="33">
        <v>3699.145</v>
      </c>
      <c r="C739" s="33">
        <v>27821.046</v>
      </c>
      <c r="D739" s="33">
        <v>-42.943</v>
      </c>
    </row>
    <row r="740">
      <c r="A740" s="32">
        <v>6807.0</v>
      </c>
      <c r="B740" s="33">
        <v>5777.522</v>
      </c>
      <c r="C740" s="33">
        <v>27863.942</v>
      </c>
      <c r="D740" s="33">
        <v>-47.802</v>
      </c>
    </row>
    <row r="741">
      <c r="A741" s="32">
        <v>6808.0</v>
      </c>
      <c r="B741" s="33">
        <v>7857.339</v>
      </c>
      <c r="C741" s="33">
        <v>27908.077</v>
      </c>
      <c r="D741" s="33">
        <v>-49.805</v>
      </c>
    </row>
    <row r="742">
      <c r="A742" s="32">
        <v>6809.0</v>
      </c>
      <c r="B742" s="33">
        <v>9935.75</v>
      </c>
      <c r="C742" s="33">
        <v>27951.187</v>
      </c>
      <c r="D742" s="33">
        <v>-57.899</v>
      </c>
    </row>
    <row r="743">
      <c r="A743" s="32">
        <v>6810.0</v>
      </c>
      <c r="B743" s="33">
        <v>12017.422</v>
      </c>
      <c r="C743" s="33">
        <v>27980.084</v>
      </c>
      <c r="D743" s="33">
        <v>-67.603</v>
      </c>
    </row>
    <row r="744">
      <c r="A744" s="32">
        <v>6811.0</v>
      </c>
      <c r="B744" s="33">
        <v>14095.491</v>
      </c>
      <c r="C744" s="33">
        <v>28046.977</v>
      </c>
      <c r="D744" s="33">
        <v>-73.285</v>
      </c>
    </row>
    <row r="745">
      <c r="A745" s="32">
        <v>6812.0</v>
      </c>
      <c r="B745" s="33">
        <v>16180.965</v>
      </c>
      <c r="C745" s="33">
        <v>28091.007</v>
      </c>
      <c r="D745" s="33">
        <v>-79.981</v>
      </c>
    </row>
    <row r="746">
      <c r="A746" s="32">
        <v>6813.0</v>
      </c>
      <c r="B746" s="33">
        <v>18234.909</v>
      </c>
      <c r="C746" s="33">
        <v>28123.445</v>
      </c>
      <c r="D746" s="33">
        <v>-80.997</v>
      </c>
    </row>
    <row r="747">
      <c r="A747" s="32">
        <v>6814.0</v>
      </c>
      <c r="B747" s="33">
        <v>20334.553</v>
      </c>
      <c r="C747" s="33">
        <v>28159.973</v>
      </c>
      <c r="D747" s="33">
        <v>-86.228</v>
      </c>
    </row>
    <row r="748">
      <c r="A748" s="32">
        <v>6903.0</v>
      </c>
      <c r="B748" s="33">
        <v>-2038.686</v>
      </c>
      <c r="C748" s="33">
        <v>30008.649</v>
      </c>
      <c r="D748" s="33">
        <v>-7.239</v>
      </c>
    </row>
    <row r="749">
      <c r="A749" s="32">
        <v>6904.0</v>
      </c>
      <c r="B749" s="33">
        <v>-509.908</v>
      </c>
      <c r="C749" s="33">
        <v>29811.55</v>
      </c>
      <c r="D749" s="33">
        <v>-20.507</v>
      </c>
    </row>
    <row r="750">
      <c r="A750" s="32">
        <v>6905.0</v>
      </c>
      <c r="B750" s="33">
        <v>1576.218</v>
      </c>
      <c r="C750" s="33">
        <v>29852.471</v>
      </c>
      <c r="D750" s="33">
        <v>-39.633</v>
      </c>
    </row>
    <row r="751">
      <c r="A751" s="32">
        <v>6906.0</v>
      </c>
      <c r="B751" s="33">
        <v>3650.456</v>
      </c>
      <c r="C751" s="33">
        <v>29897.146</v>
      </c>
      <c r="D751" s="33">
        <v>-40.262</v>
      </c>
    </row>
    <row r="752">
      <c r="A752" s="32">
        <v>6907.0</v>
      </c>
      <c r="B752" s="33">
        <v>5734.551</v>
      </c>
      <c r="C752" s="33">
        <v>29942.358</v>
      </c>
      <c r="D752" s="33">
        <v>-46.425</v>
      </c>
    </row>
    <row r="753">
      <c r="A753" s="32">
        <v>6908.0</v>
      </c>
      <c r="B753" s="33">
        <v>7818.091</v>
      </c>
      <c r="C753" s="33">
        <v>30038.809</v>
      </c>
      <c r="D753" s="33">
        <v>-21.19</v>
      </c>
    </row>
    <row r="754">
      <c r="A754" s="32">
        <v>6909.0</v>
      </c>
      <c r="B754" s="33">
        <v>9894.322</v>
      </c>
      <c r="C754" s="33">
        <v>30031.37</v>
      </c>
      <c r="D754" s="33">
        <v>-7.123</v>
      </c>
    </row>
    <row r="755">
      <c r="A755" s="32">
        <v>6910.0</v>
      </c>
      <c r="B755" s="33">
        <v>11974.214</v>
      </c>
      <c r="C755" s="33">
        <v>30075.661</v>
      </c>
      <c r="D755" s="33">
        <v>-69.613</v>
      </c>
    </row>
    <row r="756">
      <c r="A756" s="32">
        <v>6911.0</v>
      </c>
      <c r="B756" s="33">
        <v>14058.969</v>
      </c>
      <c r="C756" s="33">
        <v>30119.088</v>
      </c>
      <c r="D756" s="33">
        <v>-82.716</v>
      </c>
    </row>
    <row r="757">
      <c r="A757" s="32">
        <v>6912.0</v>
      </c>
      <c r="B757" s="33">
        <v>16136.498</v>
      </c>
      <c r="C757" s="33">
        <v>30162.322</v>
      </c>
      <c r="D757" s="33">
        <v>-87.911</v>
      </c>
    </row>
    <row r="758">
      <c r="A758" s="32">
        <v>6913.0</v>
      </c>
      <c r="B758" s="33">
        <v>18216.369</v>
      </c>
      <c r="C758" s="33">
        <v>29936.731</v>
      </c>
      <c r="D758" s="33">
        <v>-88.238</v>
      </c>
    </row>
    <row r="759">
      <c r="A759" s="32">
        <v>6914.0</v>
      </c>
      <c r="B759" s="33">
        <v>20393.85</v>
      </c>
      <c r="C759" s="33">
        <v>30252.292</v>
      </c>
      <c r="D759" s="33">
        <v>-97.831</v>
      </c>
    </row>
    <row r="760">
      <c r="A760" s="32">
        <v>7003.0</v>
      </c>
      <c r="B760" s="33">
        <v>-2637.655</v>
      </c>
      <c r="C760" s="33">
        <v>31842.925</v>
      </c>
      <c r="D760" s="33">
        <v>3.897</v>
      </c>
    </row>
    <row r="761">
      <c r="A761" s="32">
        <v>7004.0</v>
      </c>
      <c r="B761" s="33">
        <v>-548.268</v>
      </c>
      <c r="C761" s="33">
        <v>31882.917</v>
      </c>
      <c r="D761" s="33">
        <v>-18.363</v>
      </c>
    </row>
    <row r="762">
      <c r="A762" s="32">
        <v>7005.0</v>
      </c>
      <c r="B762" s="33">
        <v>1527.507</v>
      </c>
      <c r="C762" s="33">
        <v>31932.856</v>
      </c>
      <c r="D762" s="33">
        <v>-29.302</v>
      </c>
    </row>
    <row r="763">
      <c r="A763" s="32">
        <v>7006.0</v>
      </c>
      <c r="B763" s="33">
        <v>3606.859</v>
      </c>
      <c r="C763" s="33">
        <v>31977.913</v>
      </c>
      <c r="D763" s="33">
        <v>-40.194</v>
      </c>
    </row>
    <row r="764">
      <c r="A764" s="32">
        <v>7007.0</v>
      </c>
      <c r="B764" s="33">
        <v>5652.777</v>
      </c>
      <c r="C764" s="33">
        <v>32036.115</v>
      </c>
      <c r="D764" s="33">
        <v>-17.15</v>
      </c>
    </row>
    <row r="765">
      <c r="A765" s="32">
        <v>7008.0</v>
      </c>
      <c r="B765" s="33">
        <v>7769.59</v>
      </c>
      <c r="C765" s="33">
        <v>32066.463</v>
      </c>
      <c r="D765" s="33">
        <v>-1.276</v>
      </c>
    </row>
    <row r="766">
      <c r="A766" s="32">
        <v>7009.0</v>
      </c>
      <c r="B766" s="33">
        <v>9884.733</v>
      </c>
      <c r="C766" s="33">
        <v>32072.69</v>
      </c>
      <c r="D766" s="33">
        <v>27.71</v>
      </c>
    </row>
    <row r="767">
      <c r="A767" s="32">
        <v>7010.0</v>
      </c>
      <c r="B767" s="33">
        <v>11933.128</v>
      </c>
      <c r="C767" s="33">
        <v>32154.195</v>
      </c>
      <c r="D767" s="33">
        <v>-19.02</v>
      </c>
    </row>
    <row r="768">
      <c r="A768" s="32">
        <v>7011.0</v>
      </c>
      <c r="B768" s="33">
        <v>14170.732</v>
      </c>
      <c r="C768" s="33">
        <v>32199.838</v>
      </c>
      <c r="D768" s="33">
        <v>-63.863</v>
      </c>
    </row>
    <row r="769">
      <c r="A769" s="32">
        <v>7012.0</v>
      </c>
      <c r="B769" s="33">
        <v>16092.04</v>
      </c>
      <c r="C769" s="33">
        <v>32238.527</v>
      </c>
      <c r="D769" s="33">
        <v>-96.72</v>
      </c>
    </row>
    <row r="770">
      <c r="A770" s="32">
        <v>7013.0</v>
      </c>
      <c r="B770" s="33">
        <v>17723.714</v>
      </c>
      <c r="C770" s="33">
        <v>32179.122</v>
      </c>
      <c r="D770" s="33">
        <v>-98.628</v>
      </c>
    </row>
    <row r="771">
      <c r="A771" s="32">
        <v>7014.0</v>
      </c>
      <c r="B771" s="33">
        <v>20251.586</v>
      </c>
      <c r="C771" s="33">
        <v>32331.12</v>
      </c>
      <c r="D771" s="33">
        <v>-104.082</v>
      </c>
    </row>
    <row r="772">
      <c r="A772" s="32">
        <v>7103.0</v>
      </c>
      <c r="B772" s="33">
        <v>-2672.429</v>
      </c>
      <c r="C772" s="33">
        <v>33925.766</v>
      </c>
      <c r="D772" s="33">
        <v>6.828</v>
      </c>
    </row>
    <row r="773">
      <c r="A773" s="32">
        <v>7104.0</v>
      </c>
      <c r="B773" s="33">
        <v>-589.957</v>
      </c>
      <c r="C773" s="33">
        <v>33972.166</v>
      </c>
      <c r="D773" s="33">
        <v>-18.519</v>
      </c>
    </row>
    <row r="774">
      <c r="A774" s="32">
        <v>7105.0</v>
      </c>
      <c r="B774" s="33">
        <v>1485.777</v>
      </c>
      <c r="C774" s="33">
        <v>34013.197</v>
      </c>
      <c r="D774" s="33">
        <v>-31.434</v>
      </c>
    </row>
    <row r="775">
      <c r="A775" s="32">
        <v>7106.0</v>
      </c>
      <c r="B775" s="33">
        <v>3566.384</v>
      </c>
      <c r="C775" s="33">
        <v>34046.706</v>
      </c>
      <c r="D775" s="33">
        <v>-39.596</v>
      </c>
    </row>
    <row r="776">
      <c r="A776" s="32">
        <v>7107.0</v>
      </c>
      <c r="B776" s="33">
        <v>5571.064</v>
      </c>
      <c r="C776" s="33">
        <v>34056.845</v>
      </c>
      <c r="D776" s="33">
        <v>-26.763</v>
      </c>
    </row>
    <row r="777">
      <c r="A777" s="32">
        <v>7108.0</v>
      </c>
      <c r="B777" s="33">
        <v>7713.597</v>
      </c>
      <c r="C777" s="33">
        <v>34139.792</v>
      </c>
      <c r="D777" s="33">
        <v>21.025</v>
      </c>
    </row>
    <row r="778">
      <c r="A778" s="32">
        <v>7109.0</v>
      </c>
      <c r="B778" s="33">
        <v>9747.055</v>
      </c>
      <c r="C778" s="33">
        <v>34202.014</v>
      </c>
      <c r="D778" s="33">
        <v>74.413</v>
      </c>
    </row>
    <row r="779">
      <c r="A779" s="32">
        <v>7110.0</v>
      </c>
      <c r="B779" s="33">
        <v>11888.369</v>
      </c>
      <c r="C779" s="33">
        <v>34238.012</v>
      </c>
      <c r="D779" s="33">
        <v>35.683</v>
      </c>
    </row>
    <row r="780">
      <c r="A780" s="32">
        <v>7111.0</v>
      </c>
      <c r="B780" s="33">
        <v>13970.615</v>
      </c>
      <c r="C780" s="33">
        <v>34283.742</v>
      </c>
      <c r="D780" s="33">
        <v>-38.949</v>
      </c>
    </row>
    <row r="781">
      <c r="A781" s="32">
        <v>7112.0</v>
      </c>
      <c r="B781" s="33">
        <v>16450.67</v>
      </c>
      <c r="C781" s="33">
        <v>33903.145</v>
      </c>
      <c r="D781" s="33">
        <v>-104.206</v>
      </c>
    </row>
    <row r="782">
      <c r="A782" s="32">
        <v>7113.0</v>
      </c>
      <c r="B782" s="33">
        <v>18118.329</v>
      </c>
      <c r="C782" s="33">
        <v>34541.737</v>
      </c>
      <c r="D782" s="33">
        <v>-110.213</v>
      </c>
    </row>
    <row r="783">
      <c r="A783" s="32">
        <v>7114.0</v>
      </c>
      <c r="B783" s="33">
        <v>20204.47</v>
      </c>
      <c r="C783" s="33">
        <v>34409.732</v>
      </c>
      <c r="D783" s="33">
        <v>-116.085</v>
      </c>
    </row>
    <row r="784">
      <c r="A784" s="32">
        <v>7203.0</v>
      </c>
      <c r="B784" s="33">
        <v>-2715.165</v>
      </c>
      <c r="C784" s="33">
        <v>36006.309</v>
      </c>
      <c r="D784" s="33">
        <v>-7.254</v>
      </c>
    </row>
    <row r="785">
      <c r="A785" s="32">
        <v>7204.0</v>
      </c>
      <c r="B785" s="33">
        <v>-639.696</v>
      </c>
      <c r="C785" s="33">
        <v>36054.397</v>
      </c>
      <c r="D785" s="33">
        <v>-25.262</v>
      </c>
    </row>
    <row r="786">
      <c r="A786" s="32">
        <v>7205.0</v>
      </c>
      <c r="B786" s="33">
        <v>1423.015</v>
      </c>
      <c r="C786" s="33">
        <v>36164.838</v>
      </c>
      <c r="D786" s="33">
        <v>-34.415</v>
      </c>
    </row>
    <row r="787">
      <c r="A787" s="32">
        <v>7206.0</v>
      </c>
      <c r="B787" s="33">
        <v>3520.334</v>
      </c>
      <c r="C787" s="33">
        <v>36139.706</v>
      </c>
      <c r="D787" s="33">
        <v>-41.394</v>
      </c>
    </row>
    <row r="788">
      <c r="A788" s="32">
        <v>7207.0</v>
      </c>
      <c r="B788" s="33">
        <v>5619.029</v>
      </c>
      <c r="C788" s="33">
        <v>36283.233</v>
      </c>
      <c r="D788" s="33">
        <v>-17.732</v>
      </c>
    </row>
    <row r="789">
      <c r="A789" s="32">
        <v>7208.0</v>
      </c>
      <c r="B789" s="33">
        <v>7657.286</v>
      </c>
      <c r="C789" s="33">
        <v>36277.889</v>
      </c>
      <c r="D789" s="33">
        <v>22.991</v>
      </c>
    </row>
    <row r="790">
      <c r="A790" s="32">
        <v>7209.0</v>
      </c>
      <c r="B790" s="33">
        <v>9809.765</v>
      </c>
      <c r="C790" s="33">
        <v>36257.155</v>
      </c>
      <c r="D790" s="33">
        <v>29.947</v>
      </c>
    </row>
    <row r="791">
      <c r="A791" s="32">
        <v>7210.0</v>
      </c>
      <c r="B791" s="33">
        <v>11818.701</v>
      </c>
      <c r="C791" s="33">
        <v>36354.824</v>
      </c>
      <c r="D791" s="33">
        <v>12.549</v>
      </c>
    </row>
    <row r="792">
      <c r="A792" s="32">
        <v>7211.0</v>
      </c>
      <c r="B792" s="33">
        <v>13923.674</v>
      </c>
      <c r="C792" s="33">
        <v>36362.467</v>
      </c>
      <c r="D792" s="33">
        <v>-41.767</v>
      </c>
    </row>
    <row r="793">
      <c r="A793" s="32">
        <v>7212.0</v>
      </c>
      <c r="B793" s="33">
        <v>15968.616</v>
      </c>
      <c r="C793" s="33">
        <v>38570.02</v>
      </c>
      <c r="D793" s="33">
        <v>-127.932</v>
      </c>
    </row>
    <row r="794">
      <c r="A794" s="32">
        <v>7213.0</v>
      </c>
      <c r="B794" s="33">
        <v>18078.162</v>
      </c>
      <c r="C794" s="33">
        <v>36434.379</v>
      </c>
      <c r="D794" s="33">
        <v>-120.426</v>
      </c>
    </row>
    <row r="795">
      <c r="A795" s="32">
        <v>7214.0</v>
      </c>
      <c r="B795" s="33">
        <v>20162.794</v>
      </c>
      <c r="C795" s="33">
        <v>36488.266</v>
      </c>
      <c r="D795" s="33">
        <v>-126.074</v>
      </c>
    </row>
    <row r="796">
      <c r="A796" s="32">
        <v>7304.0</v>
      </c>
      <c r="B796" s="33">
        <v>-663.138</v>
      </c>
      <c r="C796" s="33">
        <v>38114.476</v>
      </c>
      <c r="D796" s="33">
        <v>-23.561</v>
      </c>
    </row>
    <row r="797">
      <c r="A797" s="32">
        <v>7305.0</v>
      </c>
      <c r="B797" s="33">
        <v>1356.965</v>
      </c>
      <c r="C797" s="33">
        <v>38173.581</v>
      </c>
      <c r="D797" s="33">
        <v>-34.765</v>
      </c>
    </row>
    <row r="798">
      <c r="A798" s="32">
        <v>7306.0</v>
      </c>
      <c r="B798" s="33">
        <v>3485.743</v>
      </c>
      <c r="C798" s="33">
        <v>38205.1</v>
      </c>
      <c r="D798" s="33">
        <v>-38.632</v>
      </c>
    </row>
    <row r="799">
      <c r="A799" s="32">
        <v>7307.0</v>
      </c>
      <c r="B799" s="33">
        <v>5565.198</v>
      </c>
      <c r="C799" s="33">
        <v>38268.489</v>
      </c>
      <c r="D799" s="33">
        <v>-42.246</v>
      </c>
    </row>
    <row r="800">
      <c r="A800" s="32">
        <v>7308.0</v>
      </c>
      <c r="B800" s="33">
        <v>7672.824</v>
      </c>
      <c r="C800" s="33">
        <v>38386.951</v>
      </c>
      <c r="D800" s="33">
        <v>-34.843</v>
      </c>
    </row>
    <row r="801">
      <c r="A801" s="32">
        <v>7309.0</v>
      </c>
      <c r="B801" s="33">
        <v>9713.35</v>
      </c>
      <c r="C801" s="33">
        <v>38351.716</v>
      </c>
      <c r="D801" s="33">
        <v>-34.727</v>
      </c>
    </row>
    <row r="802">
      <c r="A802" s="32">
        <v>7310.0</v>
      </c>
      <c r="B802" s="33">
        <v>11799.041</v>
      </c>
      <c r="C802" s="33">
        <v>38394.319</v>
      </c>
      <c r="D802" s="33">
        <v>-26.856</v>
      </c>
    </row>
    <row r="803">
      <c r="A803" s="32">
        <v>7311.0</v>
      </c>
      <c r="B803" s="33">
        <v>13942.235</v>
      </c>
      <c r="C803" s="33">
        <v>38342.611</v>
      </c>
      <c r="D803" s="33">
        <v>-60.492</v>
      </c>
    </row>
    <row r="804">
      <c r="A804" s="32">
        <v>7313.0</v>
      </c>
      <c r="B804" s="33">
        <v>18034.104</v>
      </c>
      <c r="C804" s="33">
        <v>38565.774</v>
      </c>
      <c r="D804" s="33">
        <v>-132.564</v>
      </c>
    </row>
    <row r="805">
      <c r="A805" s="32">
        <v>7404.0</v>
      </c>
      <c r="B805" s="33">
        <v>-728.369</v>
      </c>
      <c r="C805" s="33">
        <v>40206.326</v>
      </c>
      <c r="D805" s="33">
        <v>-5.963</v>
      </c>
    </row>
    <row r="806">
      <c r="A806" s="32">
        <v>7405.0</v>
      </c>
      <c r="B806" s="33">
        <v>1344.155</v>
      </c>
      <c r="C806" s="33">
        <v>40253.644</v>
      </c>
      <c r="D806" s="33">
        <v>-35.242</v>
      </c>
    </row>
    <row r="807">
      <c r="A807" s="32">
        <v>7406.0</v>
      </c>
      <c r="B807" s="33">
        <v>3424.801</v>
      </c>
      <c r="C807" s="33">
        <v>40300.653</v>
      </c>
      <c r="D807" s="33">
        <v>-44.117</v>
      </c>
    </row>
    <row r="808">
      <c r="A808" s="32">
        <v>7407.0</v>
      </c>
      <c r="B808" s="33">
        <v>5509.71</v>
      </c>
      <c r="C808" s="33">
        <v>40344.445</v>
      </c>
      <c r="D808" s="33">
        <v>-53.902</v>
      </c>
    </row>
    <row r="809">
      <c r="A809" s="32">
        <v>7408.0</v>
      </c>
      <c r="B809" s="33">
        <v>7591.243</v>
      </c>
      <c r="C809" s="33">
        <v>40388.012</v>
      </c>
      <c r="D809" s="33">
        <v>-65.053</v>
      </c>
    </row>
    <row r="810">
      <c r="A810" s="32">
        <v>7409.0</v>
      </c>
      <c r="B810" s="33">
        <v>9674.475</v>
      </c>
      <c r="C810" s="33">
        <v>40435.096</v>
      </c>
      <c r="D810" s="33">
        <v>-65.838</v>
      </c>
    </row>
    <row r="811">
      <c r="A811" s="32">
        <v>7411.0</v>
      </c>
      <c r="B811" s="33">
        <v>13859.02</v>
      </c>
      <c r="C811" s="33">
        <v>40493.227</v>
      </c>
      <c r="D811" s="33">
        <v>-120.106</v>
      </c>
    </row>
    <row r="812">
      <c r="A812" s="32">
        <v>7412.0</v>
      </c>
      <c r="B812" s="33">
        <v>15917.539</v>
      </c>
      <c r="C812" s="33">
        <v>40565.504</v>
      </c>
      <c r="D812" s="33">
        <v>-137.424</v>
      </c>
    </row>
    <row r="813">
      <c r="A813" s="32">
        <v>7413.0</v>
      </c>
      <c r="B813" s="33">
        <v>17993.971</v>
      </c>
      <c r="C813" s="33">
        <v>40607.687</v>
      </c>
      <c r="D813" s="33">
        <v>-142.735</v>
      </c>
    </row>
    <row r="814">
      <c r="A814" s="32">
        <v>7504.0</v>
      </c>
      <c r="B814" s="33">
        <v>-768.593</v>
      </c>
      <c r="C814" s="33">
        <v>42291.144</v>
      </c>
      <c r="D814" s="33">
        <v>2.597</v>
      </c>
    </row>
    <row r="815">
      <c r="A815" s="32">
        <v>7505.0</v>
      </c>
      <c r="B815" s="33">
        <v>1310.243</v>
      </c>
      <c r="C815" s="33">
        <v>42332.769</v>
      </c>
      <c r="D815" s="33">
        <v>-28.258</v>
      </c>
    </row>
    <row r="816">
      <c r="A816" s="32">
        <v>7506.0</v>
      </c>
      <c r="B816" s="33">
        <v>3385.099</v>
      </c>
      <c r="C816" s="33">
        <v>42380.975</v>
      </c>
      <c r="D816" s="33">
        <v>-38.752</v>
      </c>
    </row>
    <row r="817">
      <c r="A817" s="32">
        <v>7507.0</v>
      </c>
      <c r="B817" s="33">
        <v>5468.677</v>
      </c>
      <c r="C817" s="33">
        <v>42424.851</v>
      </c>
      <c r="D817" s="33">
        <v>-50.599</v>
      </c>
    </row>
    <row r="818">
      <c r="A818" s="32">
        <v>7508.0</v>
      </c>
      <c r="B818" s="33">
        <v>7557.463</v>
      </c>
      <c r="C818" s="33">
        <v>42450.658</v>
      </c>
      <c r="D818" s="33">
        <v>-76.111</v>
      </c>
    </row>
    <row r="819">
      <c r="A819" s="32">
        <v>7509.0</v>
      </c>
      <c r="B819" s="33">
        <v>9548.699</v>
      </c>
      <c r="C819" s="33">
        <v>42453.671</v>
      </c>
      <c r="D819" s="33">
        <v>-89.107</v>
      </c>
    </row>
    <row r="820">
      <c r="A820" s="32">
        <v>7510.0</v>
      </c>
      <c r="B820" s="33">
        <v>11707.0</v>
      </c>
      <c r="C820" s="33">
        <v>42557.426</v>
      </c>
      <c r="D820" s="33">
        <v>-115.172</v>
      </c>
    </row>
    <row r="821">
      <c r="A821" s="32">
        <v>7511.0</v>
      </c>
      <c r="B821" s="33">
        <v>13790.074</v>
      </c>
      <c r="C821" s="33">
        <v>42613.046</v>
      </c>
      <c r="D821" s="33">
        <v>-135.501</v>
      </c>
    </row>
    <row r="822">
      <c r="A822" s="32">
        <v>7512.0</v>
      </c>
      <c r="B822" s="33">
        <v>15866.825</v>
      </c>
      <c r="C822" s="33">
        <v>42644.607</v>
      </c>
      <c r="D822" s="33">
        <v>-149.044</v>
      </c>
    </row>
    <row r="823">
      <c r="A823" s="32">
        <v>7605.0</v>
      </c>
      <c r="B823" s="33">
        <v>1264.512</v>
      </c>
      <c r="C823" s="33">
        <v>44415.213</v>
      </c>
      <c r="D823" s="33">
        <v>-9.794</v>
      </c>
    </row>
    <row r="824">
      <c r="A824" s="32">
        <v>7606.0</v>
      </c>
      <c r="B824" s="33">
        <v>3344.89</v>
      </c>
      <c r="C824" s="33">
        <v>44503.366</v>
      </c>
      <c r="D824" s="33">
        <v>-23.351</v>
      </c>
    </row>
    <row r="825">
      <c r="A825" s="32">
        <v>7607.0</v>
      </c>
      <c r="B825" s="33">
        <v>5424.412</v>
      </c>
      <c r="C825" s="33">
        <v>44505.322</v>
      </c>
      <c r="D825" s="33">
        <v>-40.183</v>
      </c>
    </row>
    <row r="826">
      <c r="A826" s="32">
        <v>7608.0</v>
      </c>
      <c r="B826" s="33">
        <v>7504.915</v>
      </c>
      <c r="C826" s="33">
        <v>44548.274</v>
      </c>
      <c r="D826" s="33">
        <v>-55.669</v>
      </c>
    </row>
    <row r="827">
      <c r="A827" s="32">
        <v>7609.0</v>
      </c>
      <c r="B827" s="33">
        <v>9585.426</v>
      </c>
      <c r="C827" s="33">
        <v>44592.463</v>
      </c>
      <c r="D827" s="33">
        <v>-101.793</v>
      </c>
    </row>
    <row r="828">
      <c r="A828" s="32">
        <v>7610.0</v>
      </c>
      <c r="B828" s="33">
        <v>11667.11</v>
      </c>
      <c r="C828" s="33">
        <v>44635.52</v>
      </c>
      <c r="D828" s="33">
        <v>-136.428</v>
      </c>
    </row>
    <row r="829">
      <c r="A829" s="32">
        <v>7611.0</v>
      </c>
      <c r="B829" s="33">
        <v>13738.144</v>
      </c>
      <c r="C829" s="33">
        <v>44681.673</v>
      </c>
      <c r="D829" s="33">
        <v>-155.481</v>
      </c>
    </row>
    <row r="830">
      <c r="A830" s="32">
        <v>7706.0</v>
      </c>
      <c r="B830" s="33">
        <v>3653.119</v>
      </c>
      <c r="C830" s="33">
        <v>46188.708</v>
      </c>
      <c r="D830" s="33">
        <v>-7.351</v>
      </c>
    </row>
    <row r="831">
      <c r="A831" s="32">
        <v>7707.0</v>
      </c>
      <c r="B831" s="33">
        <v>5374.334</v>
      </c>
      <c r="C831" s="33">
        <v>46602.546</v>
      </c>
      <c r="D831" s="33">
        <v>-19.495</v>
      </c>
    </row>
    <row r="832">
      <c r="A832" s="32">
        <v>7708.0</v>
      </c>
      <c r="B832" s="33">
        <v>7455.57</v>
      </c>
      <c r="C832" s="33">
        <v>46628.728</v>
      </c>
      <c r="D832" s="33">
        <v>-48.017</v>
      </c>
    </row>
    <row r="833">
      <c r="A833" s="32">
        <v>7709.0</v>
      </c>
      <c r="B833" s="33">
        <v>9539.815</v>
      </c>
      <c r="C833" s="33">
        <v>46667.31</v>
      </c>
      <c r="D833" s="33">
        <v>-98.504</v>
      </c>
    </row>
    <row r="834">
      <c r="A834" s="32">
        <v>7710.0</v>
      </c>
      <c r="B834" s="33">
        <v>11635.582</v>
      </c>
      <c r="C834" s="33">
        <v>46715.843</v>
      </c>
      <c r="D834" s="33">
        <v>-143.495</v>
      </c>
    </row>
    <row r="835">
      <c r="A835" s="32">
        <v>7808.0</v>
      </c>
      <c r="B835" s="33">
        <v>7631.38</v>
      </c>
      <c r="C835" s="33">
        <v>48157.297</v>
      </c>
      <c r="D835" s="33">
        <v>-17.749</v>
      </c>
    </row>
    <row r="836">
      <c r="A836" s="32">
        <v>7809.0</v>
      </c>
      <c r="B836" s="33">
        <v>9488.88</v>
      </c>
      <c r="C836" s="33">
        <v>48749.722</v>
      </c>
      <c r="D836" s="33">
        <v>-51.691</v>
      </c>
    </row>
    <row r="837">
      <c r="B837" s="31"/>
      <c r="C837" s="31"/>
      <c r="D837" s="31"/>
    </row>
    <row r="838">
      <c r="B838" s="31"/>
      <c r="C838" s="31"/>
      <c r="D838" s="31"/>
    </row>
    <row r="839">
      <c r="B839" s="31"/>
      <c r="C839" s="31"/>
      <c r="D839" s="31"/>
    </row>
    <row r="840">
      <c r="B840" s="31"/>
      <c r="C840" s="31"/>
      <c r="D840" s="31"/>
    </row>
    <row r="841">
      <c r="B841" s="31"/>
      <c r="C841" s="31"/>
      <c r="D841" s="31"/>
    </row>
    <row r="842">
      <c r="B842" s="31"/>
      <c r="C842" s="31"/>
      <c r="D842" s="31"/>
    </row>
    <row r="843">
      <c r="B843" s="31"/>
      <c r="C843" s="31"/>
      <c r="D843" s="31"/>
    </row>
    <row r="844">
      <c r="B844" s="31"/>
      <c r="C844" s="31"/>
      <c r="D844" s="31"/>
    </row>
    <row r="845">
      <c r="B845" s="31"/>
      <c r="C845" s="31"/>
      <c r="D845" s="31"/>
    </row>
    <row r="846">
      <c r="B846" s="31"/>
      <c r="C846" s="31"/>
      <c r="D846" s="31"/>
    </row>
    <row r="847">
      <c r="B847" s="31"/>
      <c r="C847" s="31"/>
      <c r="D847" s="31"/>
    </row>
    <row r="848">
      <c r="B848" s="31"/>
      <c r="C848" s="31"/>
      <c r="D848" s="31"/>
    </row>
    <row r="849">
      <c r="B849" s="31"/>
      <c r="C849" s="31"/>
      <c r="D849" s="31"/>
    </row>
    <row r="850">
      <c r="B850" s="31"/>
      <c r="C850" s="31"/>
      <c r="D850" s="31"/>
    </row>
    <row r="851">
      <c r="B851" s="31"/>
      <c r="C851" s="31"/>
      <c r="D851" s="31"/>
    </row>
    <row r="852">
      <c r="B852" s="31"/>
      <c r="C852" s="31"/>
      <c r="D852" s="31"/>
    </row>
    <row r="853">
      <c r="B853" s="31"/>
      <c r="C853" s="31"/>
      <c r="D853" s="31"/>
    </row>
    <row r="854">
      <c r="B854" s="31"/>
      <c r="C854" s="31"/>
      <c r="D854" s="31"/>
    </row>
    <row r="855">
      <c r="B855" s="31"/>
      <c r="C855" s="31"/>
      <c r="D855" s="31"/>
    </row>
    <row r="856">
      <c r="B856" s="31"/>
      <c r="C856" s="31"/>
      <c r="D856" s="31"/>
    </row>
    <row r="857">
      <c r="B857" s="31"/>
      <c r="C857" s="31"/>
      <c r="D857" s="31"/>
    </row>
    <row r="858">
      <c r="B858" s="31"/>
      <c r="C858" s="31"/>
      <c r="D858" s="31"/>
    </row>
    <row r="859">
      <c r="B859" s="31"/>
      <c r="C859" s="31"/>
      <c r="D859" s="31"/>
    </row>
    <row r="860">
      <c r="B860" s="31"/>
      <c r="C860" s="31"/>
      <c r="D860" s="31"/>
    </row>
    <row r="861">
      <c r="B861" s="31"/>
      <c r="C861" s="31"/>
      <c r="D861" s="31"/>
    </row>
    <row r="862">
      <c r="B862" s="31"/>
      <c r="C862" s="31"/>
      <c r="D862" s="31"/>
    </row>
    <row r="863">
      <c r="B863" s="31"/>
      <c r="C863" s="31"/>
      <c r="D863" s="31"/>
    </row>
    <row r="864">
      <c r="B864" s="31"/>
      <c r="C864" s="31"/>
      <c r="D864" s="31"/>
    </row>
    <row r="865">
      <c r="B865" s="31"/>
      <c r="C865" s="31"/>
      <c r="D865" s="31"/>
    </row>
    <row r="866">
      <c r="B866" s="31"/>
      <c r="C866" s="31"/>
      <c r="D866" s="31"/>
    </row>
    <row r="867">
      <c r="B867" s="31"/>
      <c r="C867" s="31"/>
      <c r="D867" s="31"/>
    </row>
    <row r="868">
      <c r="B868" s="31"/>
      <c r="C868" s="31"/>
      <c r="D868" s="31"/>
    </row>
    <row r="869">
      <c r="B869" s="31"/>
      <c r="C869" s="31"/>
      <c r="D869" s="31"/>
    </row>
    <row r="870">
      <c r="B870" s="31"/>
      <c r="C870" s="31"/>
      <c r="D870" s="31"/>
    </row>
    <row r="871">
      <c r="B871" s="31"/>
      <c r="C871" s="31"/>
      <c r="D871" s="31"/>
    </row>
    <row r="872">
      <c r="B872" s="31"/>
      <c r="C872" s="31"/>
      <c r="D872" s="31"/>
    </row>
    <row r="873">
      <c r="B873" s="31"/>
      <c r="C873" s="31"/>
      <c r="D873" s="31"/>
    </row>
    <row r="874">
      <c r="B874" s="31"/>
      <c r="C874" s="31"/>
      <c r="D874" s="31"/>
    </row>
    <row r="875">
      <c r="B875" s="31"/>
      <c r="C875" s="31"/>
      <c r="D875" s="31"/>
    </row>
    <row r="876">
      <c r="B876" s="31"/>
      <c r="C876" s="31"/>
      <c r="D876" s="31"/>
    </row>
    <row r="877">
      <c r="B877" s="31"/>
      <c r="C877" s="31"/>
      <c r="D877" s="31"/>
    </row>
    <row r="878">
      <c r="B878" s="31"/>
      <c r="C878" s="31"/>
      <c r="D878" s="31"/>
    </row>
    <row r="879">
      <c r="B879" s="31"/>
      <c r="C879" s="31"/>
      <c r="D879" s="31"/>
    </row>
    <row r="880">
      <c r="B880" s="31"/>
      <c r="C880" s="31"/>
      <c r="D880" s="31"/>
    </row>
    <row r="881">
      <c r="B881" s="31"/>
      <c r="C881" s="31"/>
      <c r="D881" s="31"/>
    </row>
    <row r="882">
      <c r="B882" s="31"/>
      <c r="C882" s="31"/>
      <c r="D882" s="31"/>
    </row>
    <row r="883">
      <c r="B883" s="31"/>
      <c r="C883" s="31"/>
      <c r="D883" s="31"/>
    </row>
    <row r="884">
      <c r="B884" s="31"/>
      <c r="C884" s="31"/>
      <c r="D884" s="31"/>
    </row>
    <row r="885">
      <c r="B885" s="31"/>
      <c r="C885" s="31"/>
      <c r="D885" s="31"/>
    </row>
    <row r="886">
      <c r="B886" s="31"/>
      <c r="C886" s="31"/>
      <c r="D886" s="31"/>
    </row>
    <row r="887">
      <c r="B887" s="31"/>
      <c r="C887" s="31"/>
      <c r="D887" s="31"/>
    </row>
    <row r="888">
      <c r="B888" s="31"/>
      <c r="C888" s="31"/>
      <c r="D888" s="31"/>
    </row>
    <row r="889">
      <c r="B889" s="31"/>
      <c r="C889" s="31"/>
      <c r="D889" s="31"/>
    </row>
    <row r="890">
      <c r="B890" s="31"/>
      <c r="C890" s="31"/>
      <c r="D890" s="31"/>
    </row>
    <row r="891">
      <c r="B891" s="31"/>
      <c r="C891" s="31"/>
      <c r="D891" s="31"/>
    </row>
    <row r="892">
      <c r="B892" s="31"/>
      <c r="C892" s="31"/>
      <c r="D892" s="31"/>
    </row>
    <row r="893">
      <c r="B893" s="31"/>
      <c r="C893" s="31"/>
      <c r="D893" s="31"/>
    </row>
    <row r="894">
      <c r="B894" s="31"/>
      <c r="C894" s="31"/>
      <c r="D894" s="31"/>
    </row>
    <row r="895">
      <c r="B895" s="31"/>
      <c r="C895" s="31"/>
      <c r="D895" s="31"/>
    </row>
    <row r="896">
      <c r="B896" s="31"/>
      <c r="C896" s="31"/>
      <c r="D896" s="31"/>
    </row>
    <row r="897">
      <c r="B897" s="31"/>
      <c r="C897" s="31"/>
      <c r="D897" s="31"/>
    </row>
    <row r="898">
      <c r="B898" s="31"/>
      <c r="C898" s="31"/>
      <c r="D898" s="31"/>
    </row>
    <row r="899">
      <c r="B899" s="31"/>
      <c r="C899" s="31"/>
      <c r="D899" s="31"/>
    </row>
    <row r="900">
      <c r="B900" s="31"/>
      <c r="C900" s="31"/>
      <c r="D900" s="31"/>
    </row>
    <row r="901">
      <c r="B901" s="31"/>
      <c r="C901" s="31"/>
      <c r="D901" s="31"/>
    </row>
    <row r="902">
      <c r="B902" s="31"/>
      <c r="C902" s="31"/>
      <c r="D902" s="31"/>
    </row>
    <row r="903">
      <c r="B903" s="31"/>
      <c r="C903" s="31"/>
      <c r="D903" s="31"/>
    </row>
    <row r="904">
      <c r="B904" s="31"/>
      <c r="C904" s="31"/>
      <c r="D904" s="31"/>
    </row>
    <row r="905">
      <c r="B905" s="31"/>
      <c r="C905" s="31"/>
      <c r="D905" s="31"/>
    </row>
    <row r="906">
      <c r="B906" s="31"/>
      <c r="C906" s="31"/>
      <c r="D906" s="31"/>
    </row>
    <row r="907">
      <c r="B907" s="31"/>
      <c r="C907" s="31"/>
      <c r="D907" s="31"/>
    </row>
    <row r="908">
      <c r="B908" s="31"/>
      <c r="C908" s="31"/>
      <c r="D908" s="31"/>
    </row>
    <row r="909">
      <c r="B909" s="31"/>
      <c r="C909" s="31"/>
      <c r="D909" s="31"/>
    </row>
    <row r="910">
      <c r="B910" s="31"/>
      <c r="C910" s="31"/>
      <c r="D910" s="31"/>
    </row>
    <row r="911">
      <c r="B911" s="31"/>
      <c r="C911" s="31"/>
      <c r="D911" s="31"/>
    </row>
    <row r="912">
      <c r="B912" s="31"/>
      <c r="C912" s="31"/>
      <c r="D912" s="31"/>
    </row>
    <row r="913">
      <c r="B913" s="31"/>
      <c r="C913" s="31"/>
      <c r="D913" s="31"/>
    </row>
    <row r="914">
      <c r="B914" s="31"/>
      <c r="C914" s="31"/>
      <c r="D914" s="31"/>
    </row>
    <row r="915">
      <c r="B915" s="31"/>
      <c r="C915" s="31"/>
      <c r="D915" s="31"/>
    </row>
    <row r="916">
      <c r="B916" s="31"/>
      <c r="C916" s="31"/>
      <c r="D916" s="31"/>
    </row>
    <row r="917">
      <c r="B917" s="31"/>
      <c r="C917" s="31"/>
      <c r="D917" s="31"/>
    </row>
    <row r="918">
      <c r="B918" s="31"/>
      <c r="C918" s="31"/>
      <c r="D918" s="31"/>
    </row>
    <row r="919">
      <c r="B919" s="31"/>
      <c r="C919" s="31"/>
      <c r="D919" s="31"/>
    </row>
    <row r="920">
      <c r="B920" s="31"/>
      <c r="C920" s="31"/>
      <c r="D920" s="31"/>
    </row>
    <row r="921">
      <c r="B921" s="31"/>
      <c r="C921" s="31"/>
      <c r="D921" s="31"/>
    </row>
    <row r="922">
      <c r="B922" s="31"/>
      <c r="C922" s="31"/>
      <c r="D922" s="31"/>
    </row>
    <row r="923">
      <c r="B923" s="31"/>
      <c r="C923" s="31"/>
      <c r="D923" s="31"/>
    </row>
    <row r="924">
      <c r="B924" s="31"/>
      <c r="C924" s="31"/>
      <c r="D924" s="31"/>
    </row>
    <row r="925">
      <c r="B925" s="31"/>
      <c r="C925" s="31"/>
      <c r="D925" s="31"/>
    </row>
    <row r="926">
      <c r="B926" s="31"/>
      <c r="C926" s="31"/>
      <c r="D926" s="31"/>
    </row>
    <row r="927">
      <c r="B927" s="31"/>
      <c r="C927" s="31"/>
      <c r="D927" s="31"/>
    </row>
    <row r="928">
      <c r="B928" s="31"/>
      <c r="C928" s="31"/>
      <c r="D928" s="31"/>
    </row>
    <row r="929">
      <c r="B929" s="31"/>
      <c r="C929" s="31"/>
      <c r="D929" s="31"/>
    </row>
    <row r="930">
      <c r="B930" s="31"/>
      <c r="C930" s="31"/>
      <c r="D930" s="31"/>
    </row>
    <row r="931">
      <c r="B931" s="31"/>
      <c r="C931" s="31"/>
      <c r="D931" s="31"/>
    </row>
    <row r="932">
      <c r="B932" s="31"/>
      <c r="C932" s="31"/>
      <c r="D932" s="31"/>
    </row>
    <row r="933">
      <c r="B933" s="31"/>
      <c r="C933" s="31"/>
      <c r="D933" s="31"/>
    </row>
    <row r="934">
      <c r="B934" s="31"/>
      <c r="C934" s="31"/>
      <c r="D934" s="31"/>
    </row>
    <row r="935">
      <c r="B935" s="31"/>
      <c r="C935" s="31"/>
      <c r="D935" s="31"/>
    </row>
    <row r="936">
      <c r="B936" s="31"/>
      <c r="C936" s="31"/>
      <c r="D936" s="31"/>
    </row>
    <row r="937">
      <c r="B937" s="31"/>
      <c r="C937" s="31"/>
      <c r="D937" s="31"/>
    </row>
    <row r="938">
      <c r="B938" s="31"/>
      <c r="C938" s="31"/>
      <c r="D938" s="31"/>
    </row>
    <row r="939">
      <c r="B939" s="31"/>
      <c r="C939" s="31"/>
      <c r="D939" s="31"/>
    </row>
    <row r="940">
      <c r="B940" s="31"/>
      <c r="C940" s="31"/>
      <c r="D940" s="31"/>
    </row>
    <row r="941">
      <c r="B941" s="31"/>
      <c r="C941" s="31"/>
      <c r="D941" s="31"/>
    </row>
    <row r="942">
      <c r="B942" s="31"/>
      <c r="C942" s="31"/>
      <c r="D942" s="31"/>
    </row>
    <row r="943">
      <c r="B943" s="31"/>
      <c r="C943" s="31"/>
      <c r="D943" s="31"/>
    </row>
    <row r="944">
      <c r="B944" s="31"/>
      <c r="C944" s="31"/>
      <c r="D944" s="31"/>
    </row>
    <row r="945">
      <c r="B945" s="31"/>
      <c r="C945" s="31"/>
      <c r="D945" s="31"/>
    </row>
    <row r="946">
      <c r="B946" s="31"/>
      <c r="C946" s="31"/>
      <c r="D946" s="31"/>
    </row>
    <row r="947">
      <c r="B947" s="31"/>
      <c r="C947" s="31"/>
      <c r="D947" s="31"/>
    </row>
    <row r="948">
      <c r="B948" s="31"/>
      <c r="C948" s="31"/>
      <c r="D948" s="31"/>
    </row>
    <row r="949">
      <c r="B949" s="31"/>
      <c r="C949" s="31"/>
      <c r="D949" s="31"/>
    </row>
    <row r="950">
      <c r="B950" s="31"/>
      <c r="C950" s="31"/>
      <c r="D950" s="31"/>
    </row>
    <row r="951">
      <c r="B951" s="31"/>
      <c r="C951" s="31"/>
      <c r="D951" s="31"/>
    </row>
    <row r="952">
      <c r="B952" s="31"/>
      <c r="C952" s="31"/>
      <c r="D952" s="31"/>
    </row>
    <row r="953">
      <c r="B953" s="31"/>
      <c r="C953" s="31"/>
      <c r="D953" s="31"/>
    </row>
    <row r="954">
      <c r="B954" s="31"/>
      <c r="C954" s="31"/>
      <c r="D954" s="31"/>
    </row>
    <row r="955">
      <c r="B955" s="31"/>
      <c r="C955" s="31"/>
      <c r="D955" s="31"/>
    </row>
    <row r="956">
      <c r="B956" s="31"/>
      <c r="C956" s="31"/>
      <c r="D956" s="31"/>
    </row>
    <row r="957">
      <c r="B957" s="31"/>
      <c r="C957" s="31"/>
      <c r="D957" s="31"/>
    </row>
    <row r="958">
      <c r="B958" s="31"/>
      <c r="C958" s="31"/>
      <c r="D958" s="31"/>
    </row>
    <row r="959">
      <c r="B959" s="31"/>
      <c r="C959" s="31"/>
      <c r="D959" s="31"/>
    </row>
    <row r="960">
      <c r="B960" s="31"/>
      <c r="C960" s="31"/>
      <c r="D960" s="31"/>
    </row>
    <row r="961">
      <c r="B961" s="31"/>
      <c r="C961" s="31"/>
      <c r="D961" s="31"/>
    </row>
    <row r="962">
      <c r="B962" s="31"/>
      <c r="C962" s="31"/>
      <c r="D962" s="31"/>
    </row>
    <row r="963">
      <c r="B963" s="31"/>
      <c r="C963" s="31"/>
      <c r="D963" s="31"/>
    </row>
    <row r="964">
      <c r="B964" s="31"/>
      <c r="C964" s="31"/>
      <c r="D964" s="31"/>
    </row>
    <row r="965">
      <c r="B965" s="31"/>
      <c r="C965" s="31"/>
      <c r="D965" s="31"/>
    </row>
    <row r="966">
      <c r="B966" s="31"/>
      <c r="C966" s="31"/>
      <c r="D966" s="31"/>
    </row>
    <row r="967">
      <c r="B967" s="31"/>
      <c r="C967" s="31"/>
      <c r="D967" s="31"/>
    </row>
    <row r="968">
      <c r="B968" s="31"/>
      <c r="C968" s="31"/>
      <c r="D968" s="31"/>
    </row>
    <row r="969">
      <c r="B969" s="31"/>
      <c r="C969" s="31"/>
      <c r="D969" s="31"/>
    </row>
    <row r="970">
      <c r="B970" s="31"/>
      <c r="C970" s="31"/>
      <c r="D970" s="31"/>
    </row>
    <row r="971">
      <c r="B971" s="31"/>
      <c r="C971" s="31"/>
      <c r="D971" s="31"/>
    </row>
    <row r="972">
      <c r="B972" s="31"/>
      <c r="C972" s="31"/>
      <c r="D972" s="31"/>
    </row>
    <row r="973">
      <c r="B973" s="31"/>
      <c r="C973" s="31"/>
      <c r="D973" s="31"/>
    </row>
    <row r="974">
      <c r="B974" s="31"/>
      <c r="C974" s="31"/>
      <c r="D974" s="31"/>
    </row>
    <row r="975">
      <c r="B975" s="31"/>
      <c r="C975" s="31"/>
      <c r="D975" s="31"/>
    </row>
    <row r="976">
      <c r="B976" s="31"/>
      <c r="C976" s="31"/>
      <c r="D976" s="31"/>
    </row>
    <row r="977">
      <c r="B977" s="31"/>
      <c r="C977" s="31"/>
      <c r="D977" s="31"/>
    </row>
    <row r="978">
      <c r="B978" s="31"/>
      <c r="C978" s="31"/>
      <c r="D978" s="31"/>
    </row>
    <row r="979">
      <c r="B979" s="31"/>
      <c r="C979" s="31"/>
      <c r="D979" s="31"/>
    </row>
    <row r="980">
      <c r="B980" s="31"/>
      <c r="C980" s="31"/>
      <c r="D980" s="31"/>
    </row>
    <row r="981">
      <c r="B981" s="31"/>
      <c r="C981" s="31"/>
      <c r="D981" s="31"/>
    </row>
    <row r="982">
      <c r="B982" s="31"/>
      <c r="C982" s="31"/>
      <c r="D982" s="31"/>
    </row>
    <row r="983">
      <c r="B983" s="31"/>
      <c r="C983" s="31"/>
      <c r="D983" s="31"/>
    </row>
    <row r="984">
      <c r="B984" s="31"/>
      <c r="C984" s="31"/>
      <c r="D984" s="31"/>
    </row>
    <row r="985">
      <c r="B985" s="31"/>
      <c r="C985" s="31"/>
      <c r="D985" s="31"/>
    </row>
    <row r="986">
      <c r="B986" s="31"/>
      <c r="C986" s="31"/>
      <c r="D986" s="31"/>
    </row>
    <row r="987">
      <c r="B987" s="31"/>
      <c r="C987" s="31"/>
      <c r="D987" s="31"/>
    </row>
    <row r="988">
      <c r="B988" s="31"/>
      <c r="C988" s="31"/>
      <c r="D988" s="31"/>
    </row>
    <row r="989">
      <c r="B989" s="31"/>
      <c r="C989" s="31"/>
      <c r="D989" s="31"/>
    </row>
    <row r="990">
      <c r="B990" s="31"/>
      <c r="C990" s="31"/>
      <c r="D990" s="31"/>
    </row>
    <row r="991">
      <c r="B991" s="31"/>
      <c r="C991" s="31"/>
      <c r="D991" s="31"/>
    </row>
    <row r="992">
      <c r="B992" s="31"/>
      <c r="C992" s="31"/>
      <c r="D992" s="31"/>
    </row>
    <row r="993">
      <c r="B993" s="31"/>
      <c r="C993" s="31"/>
      <c r="D993" s="31"/>
    </row>
    <row r="994">
      <c r="B994" s="31"/>
      <c r="C994" s="31"/>
      <c r="D994" s="31"/>
    </row>
    <row r="995">
      <c r="B995" s="31"/>
      <c r="C995" s="31"/>
      <c r="D995" s="31"/>
    </row>
    <row r="996">
      <c r="B996" s="31"/>
      <c r="C996" s="31"/>
      <c r="D996" s="31"/>
    </row>
    <row r="997">
      <c r="B997" s="31"/>
      <c r="C997" s="31"/>
      <c r="D997" s="31"/>
    </row>
    <row r="998">
      <c r="B998" s="31"/>
      <c r="C998" s="31"/>
      <c r="D998" s="31"/>
    </row>
    <row r="999">
      <c r="B999" s="31"/>
      <c r="C999" s="31"/>
      <c r="D999" s="31"/>
    </row>
    <row r="1000">
      <c r="B1000" s="31"/>
      <c r="C1000" s="31"/>
      <c r="D1000" s="3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2" width="16.57"/>
    <col customWidth="1" min="3" max="11" width="8.71"/>
    <col customWidth="1" min="12" max="12" width="13.86"/>
    <col customWidth="1" min="13" max="13" width="14.43"/>
    <col customWidth="1" min="14" max="26" width="8.71"/>
  </cols>
  <sheetData>
    <row r="1" ht="14.25" customHeight="1">
      <c r="A1" s="34" t="s">
        <v>35</v>
      </c>
      <c r="B1" s="34" t="s">
        <v>36</v>
      </c>
      <c r="C1" s="35" t="s">
        <v>37</v>
      </c>
      <c r="D1" s="36"/>
      <c r="K1" s="32" t="s">
        <v>38</v>
      </c>
      <c r="L1" s="37">
        <f t="shared" ref="L1:M1" si="1">INDEX(A:A,match($K1,$C:$C,0))</f>
        <v>39.567144</v>
      </c>
      <c r="M1" s="37">
        <f t="shared" si="1"/>
        <v>-112.932448</v>
      </c>
      <c r="N1" s="32" t="s">
        <v>39</v>
      </c>
    </row>
    <row r="2" ht="14.25" customHeight="1">
      <c r="A2" s="38">
        <v>39.29693</v>
      </c>
      <c r="B2" s="38">
        <v>-112.90875</v>
      </c>
      <c r="C2" s="39" t="s">
        <v>40</v>
      </c>
      <c r="D2" s="36"/>
      <c r="K2" s="32" t="s">
        <v>41</v>
      </c>
      <c r="L2" s="37">
        <f t="shared" ref="L2:M2" si="2">INDEX(A:A,match($K2,$C:$C,0))</f>
        <v>39.567654</v>
      </c>
      <c r="M2" s="37">
        <f t="shared" si="2"/>
        <v>-112.769408</v>
      </c>
      <c r="N2" s="32" t="s">
        <v>39</v>
      </c>
    </row>
    <row r="3" ht="14.25" customHeight="1">
      <c r="A3" s="38">
        <v>39.338505</v>
      </c>
      <c r="B3" s="38">
        <v>-112.700891</v>
      </c>
      <c r="C3" s="39" t="s">
        <v>42</v>
      </c>
      <c r="D3" s="36"/>
      <c r="K3" s="32" t="s">
        <v>43</v>
      </c>
      <c r="L3" s="37">
        <f t="shared" ref="L3:M3" si="3">INDEX(A:A,match($K3,$C:$C,0))</f>
        <v>39.64017</v>
      </c>
      <c r="M3" s="37">
        <f t="shared" si="3"/>
        <v>-112.91647</v>
      </c>
      <c r="N3" s="32" t="s">
        <v>44</v>
      </c>
      <c r="O3" s="32">
        <v>250.0</v>
      </c>
      <c r="P3" s="32" t="s">
        <v>45</v>
      </c>
    </row>
    <row r="4" ht="14.25" customHeight="1">
      <c r="A4" s="38">
        <v>39.339457</v>
      </c>
      <c r="B4" s="38">
        <v>-112.701826</v>
      </c>
      <c r="C4" s="39" t="s">
        <v>46</v>
      </c>
      <c r="D4" s="36"/>
      <c r="K4" s="32" t="s">
        <v>47</v>
      </c>
      <c r="L4" s="37">
        <f t="shared" ref="L4:M4" si="4">INDEX(A:A,match($K4,$C:$C,0))</f>
        <v>39.642594</v>
      </c>
      <c r="M4" s="37">
        <f t="shared" si="4"/>
        <v>-112.771328</v>
      </c>
      <c r="N4" s="32" t="s">
        <v>44</v>
      </c>
      <c r="O4" s="32">
        <v>1000.0</v>
      </c>
      <c r="P4" s="32" t="s">
        <v>45</v>
      </c>
    </row>
    <row r="5" ht="14.25" customHeight="1">
      <c r="A5" s="38">
        <v>39.29228</v>
      </c>
      <c r="B5" s="38">
        <v>-112.773082</v>
      </c>
      <c r="C5" s="39" t="s">
        <v>48</v>
      </c>
      <c r="D5" s="36"/>
      <c r="K5" s="32" t="s">
        <v>49</v>
      </c>
      <c r="L5" s="37">
        <f t="shared" ref="L5:M5" si="5">INDEX(A:A,match($K5,$C:$C,0))</f>
        <v>39.023284</v>
      </c>
      <c r="M5" s="37">
        <f t="shared" si="5"/>
        <v>-112.827858</v>
      </c>
      <c r="N5" s="32" t="s">
        <v>44</v>
      </c>
      <c r="O5" s="32">
        <v>380.0</v>
      </c>
      <c r="P5" s="32" t="s">
        <v>45</v>
      </c>
    </row>
    <row r="6" ht="14.25" customHeight="1">
      <c r="A6" s="38">
        <v>39.338417</v>
      </c>
      <c r="B6" s="38">
        <v>-112.701091</v>
      </c>
      <c r="C6" s="39" t="s">
        <v>50</v>
      </c>
      <c r="D6" s="36"/>
      <c r="K6" s="32" t="s">
        <v>51</v>
      </c>
      <c r="L6" s="37">
        <f t="shared" ref="L6:M6" si="6">INDEX(A:A,match($K6,$C:$C,0))</f>
        <v>39.026824</v>
      </c>
      <c r="M6" s="37">
        <f t="shared" si="6"/>
        <v>-112.587598</v>
      </c>
      <c r="N6" s="32" t="s">
        <v>44</v>
      </c>
      <c r="O6" s="32">
        <v>1200.0</v>
      </c>
      <c r="P6" s="32" t="s">
        <v>45</v>
      </c>
    </row>
    <row r="7" ht="14.25" customHeight="1">
      <c r="A7" s="38">
        <v>39.296706</v>
      </c>
      <c r="B7" s="38">
        <v>-112.90922</v>
      </c>
      <c r="C7" s="39" t="s">
        <v>52</v>
      </c>
      <c r="D7" s="36"/>
      <c r="K7" s="32" t="s">
        <v>53</v>
      </c>
      <c r="L7" s="37">
        <f t="shared" ref="L7:M7" si="7">INDEX(A:A,match($K7,$C:$C,0))</f>
        <v>39.100144</v>
      </c>
      <c r="M7" s="37">
        <f t="shared" si="7"/>
        <v>-112.709468</v>
      </c>
      <c r="N7" s="32" t="s">
        <v>39</v>
      </c>
    </row>
    <row r="8" ht="14.25" customHeight="1">
      <c r="A8" s="38">
        <v>39.378658</v>
      </c>
      <c r="B8" s="38">
        <v>-112.884453</v>
      </c>
      <c r="C8" s="39" t="s">
        <v>54</v>
      </c>
      <c r="D8" s="36"/>
      <c r="K8" s="32" t="s">
        <v>55</v>
      </c>
      <c r="L8" s="37">
        <f t="shared" ref="L8:M8" si="8">INDEX(A:A,match($K8,$C:$C,0))</f>
        <v>39.120474</v>
      </c>
      <c r="M8" s="37">
        <f t="shared" si="8"/>
        <v>-112.589758</v>
      </c>
      <c r="N8" s="32" t="s">
        <v>44</v>
      </c>
      <c r="O8" s="32">
        <v>490.0</v>
      </c>
      <c r="P8" s="32" t="s">
        <v>45</v>
      </c>
    </row>
    <row r="9" ht="14.25" customHeight="1">
      <c r="A9" s="38">
        <v>39.389031</v>
      </c>
      <c r="B9" s="38">
        <v>-112.814621</v>
      </c>
      <c r="C9" s="39" t="s">
        <v>56</v>
      </c>
      <c r="D9" s="36"/>
    </row>
    <row r="10" ht="14.25" customHeight="1">
      <c r="A10" s="38">
        <v>39.189919</v>
      </c>
      <c r="B10" s="38">
        <v>-112.714592</v>
      </c>
      <c r="C10" s="39" t="s">
        <v>57</v>
      </c>
      <c r="D10" s="36"/>
    </row>
    <row r="11" ht="14.25" customHeight="1">
      <c r="A11" s="38">
        <v>39.472508</v>
      </c>
      <c r="B11" s="38">
        <v>-112.992081</v>
      </c>
      <c r="C11" s="39" t="s">
        <v>58</v>
      </c>
      <c r="D11" s="36"/>
    </row>
    <row r="12" ht="14.25" customHeight="1">
      <c r="A12" s="38">
        <v>39.281887</v>
      </c>
      <c r="B12" s="38">
        <v>-113.064835</v>
      </c>
      <c r="C12" s="39" t="s">
        <v>59</v>
      </c>
      <c r="D12" s="36"/>
    </row>
    <row r="13" ht="14.25" customHeight="1">
      <c r="A13" s="38">
        <v>39.206715</v>
      </c>
      <c r="B13" s="38">
        <v>-113.121223</v>
      </c>
      <c r="C13" s="39" t="s">
        <v>60</v>
      </c>
      <c r="D13" s="36"/>
    </row>
    <row r="14" ht="14.25" customHeight="1">
      <c r="A14" s="38">
        <v>39.140408</v>
      </c>
      <c r="B14" s="38">
        <v>-112.78727</v>
      </c>
      <c r="C14" s="39" t="s">
        <v>61</v>
      </c>
      <c r="D14" s="36"/>
    </row>
    <row r="15" ht="14.25" customHeight="1">
      <c r="A15" s="38">
        <v>39.216393</v>
      </c>
      <c r="B15" s="38">
        <v>-112.829094</v>
      </c>
      <c r="C15" s="39" t="s">
        <v>62</v>
      </c>
      <c r="D15" s="36"/>
    </row>
    <row r="16" ht="14.25" customHeight="1">
      <c r="A16" s="38">
        <v>39.248509</v>
      </c>
      <c r="B16" s="38">
        <v>-112.88414</v>
      </c>
      <c r="C16" s="39" t="s">
        <v>63</v>
      </c>
      <c r="D16" s="36"/>
    </row>
    <row r="17" ht="14.25" customHeight="1">
      <c r="A17" s="38">
        <v>39.291924</v>
      </c>
      <c r="B17" s="38">
        <v>-112.772675</v>
      </c>
      <c r="C17" s="39" t="s">
        <v>64</v>
      </c>
      <c r="D17" s="36"/>
    </row>
    <row r="18" ht="14.25" customHeight="1">
      <c r="A18" s="38">
        <v>39.338392</v>
      </c>
      <c r="B18" s="38">
        <v>-112.699539</v>
      </c>
      <c r="C18" s="39" t="s">
        <v>65</v>
      </c>
      <c r="D18" s="36"/>
    </row>
    <row r="19" ht="14.25" customHeight="1">
      <c r="A19" s="38">
        <v>39.469548</v>
      </c>
      <c r="B19" s="38">
        <v>-113.004292</v>
      </c>
      <c r="C19" s="39" t="s">
        <v>66</v>
      </c>
      <c r="D19" s="36"/>
    </row>
    <row r="20" ht="14.25" customHeight="1">
      <c r="A20" s="38">
        <v>39.469572</v>
      </c>
      <c r="B20" s="38">
        <v>-113.0043</v>
      </c>
      <c r="C20" s="39" t="s">
        <v>67</v>
      </c>
      <c r="D20" s="36"/>
    </row>
    <row r="21" ht="14.25" customHeight="1">
      <c r="A21" s="38">
        <v>39.46955</v>
      </c>
      <c r="B21" s="38">
        <v>-113.001968</v>
      </c>
      <c r="C21" s="39" t="s">
        <v>68</v>
      </c>
      <c r="D21" s="36"/>
    </row>
    <row r="22" ht="14.25" customHeight="1">
      <c r="A22" s="38">
        <v>39.46775</v>
      </c>
      <c r="B22" s="38">
        <v>-113.001966</v>
      </c>
      <c r="C22" s="39" t="s">
        <v>69</v>
      </c>
      <c r="D22" s="36"/>
    </row>
    <row r="23" ht="14.25" customHeight="1">
      <c r="A23" s="38">
        <v>39.467752</v>
      </c>
      <c r="B23" s="38">
        <v>-112.99965</v>
      </c>
      <c r="C23" s="39" t="s">
        <v>70</v>
      </c>
      <c r="D23" s="36"/>
    </row>
    <row r="24" ht="14.25" customHeight="1">
      <c r="A24" s="38">
        <v>39.46955</v>
      </c>
      <c r="B24" s="38">
        <v>-112.999652</v>
      </c>
      <c r="C24" s="39" t="s">
        <v>71</v>
      </c>
      <c r="D24" s="36"/>
    </row>
    <row r="25" ht="14.25" customHeight="1">
      <c r="A25" s="38">
        <v>39.469554</v>
      </c>
      <c r="B25" s="38">
        <v>-112.99732</v>
      </c>
      <c r="C25" s="39" t="s">
        <v>72</v>
      </c>
      <c r="D25" s="36"/>
    </row>
    <row r="26" ht="14.25" customHeight="1">
      <c r="A26" s="38">
        <v>39.468653</v>
      </c>
      <c r="B26" s="38">
        <v>-112.997311</v>
      </c>
      <c r="C26" s="39" t="s">
        <v>73</v>
      </c>
      <c r="D26" s="36"/>
    </row>
    <row r="27" ht="14.25" customHeight="1">
      <c r="A27" s="38">
        <v>39.468654</v>
      </c>
      <c r="B27" s="38">
        <v>-112.996159</v>
      </c>
      <c r="C27" s="39" t="s">
        <v>74</v>
      </c>
      <c r="D27" s="36"/>
    </row>
    <row r="28" ht="14.25" customHeight="1">
      <c r="A28" s="38">
        <v>39.469553</v>
      </c>
      <c r="B28" s="38">
        <v>-112.996162</v>
      </c>
      <c r="C28" s="39" t="s">
        <v>75</v>
      </c>
      <c r="D28" s="36"/>
    </row>
    <row r="29" ht="14.25" customHeight="1">
      <c r="A29" s="38">
        <v>39.469558</v>
      </c>
      <c r="B29" s="38">
        <v>-112.994997</v>
      </c>
      <c r="C29" s="39" t="s">
        <v>76</v>
      </c>
      <c r="D29" s="36"/>
    </row>
    <row r="30" ht="14.25" customHeight="1">
      <c r="A30" s="38">
        <v>39.469558</v>
      </c>
      <c r="B30" s="38">
        <v>-112.994965</v>
      </c>
      <c r="C30" s="39" t="s">
        <v>77</v>
      </c>
      <c r="D30" s="36"/>
    </row>
    <row r="31" ht="14.25" customHeight="1">
      <c r="A31" s="38">
        <v>39.468655</v>
      </c>
      <c r="B31" s="38">
        <v>-112.994988</v>
      </c>
      <c r="C31" s="39" t="s">
        <v>78</v>
      </c>
      <c r="D31" s="36"/>
    </row>
    <row r="32" ht="14.25" customHeight="1">
      <c r="A32" s="38">
        <v>39.467751</v>
      </c>
      <c r="B32" s="38">
        <v>-112.994995</v>
      </c>
      <c r="C32" s="39" t="s">
        <v>79</v>
      </c>
      <c r="D32" s="36"/>
    </row>
    <row r="33" ht="14.25" customHeight="1">
      <c r="A33" s="38">
        <v>39.467756</v>
      </c>
      <c r="B33" s="38">
        <v>-112.993835</v>
      </c>
      <c r="C33" s="39" t="s">
        <v>80</v>
      </c>
      <c r="D33" s="36"/>
    </row>
    <row r="34" ht="14.25" customHeight="1">
      <c r="A34" s="38">
        <v>39.468657</v>
      </c>
      <c r="B34" s="38">
        <v>-112.993836</v>
      </c>
      <c r="C34" s="39" t="s">
        <v>81</v>
      </c>
      <c r="D34" s="36"/>
    </row>
    <row r="35" ht="14.25" customHeight="1">
      <c r="A35" s="38">
        <v>39.469557</v>
      </c>
      <c r="B35" s="38">
        <v>-112.993836</v>
      </c>
      <c r="C35" s="39" t="s">
        <v>82</v>
      </c>
      <c r="D35" s="36"/>
    </row>
    <row r="36" ht="14.25" customHeight="1">
      <c r="A36" s="38">
        <v>39.469558</v>
      </c>
      <c r="B36" s="38">
        <v>-112.992673</v>
      </c>
      <c r="C36" s="39" t="s">
        <v>83</v>
      </c>
      <c r="D36" s="36"/>
    </row>
    <row r="37" ht="14.25" customHeight="1">
      <c r="A37" s="38">
        <v>39.468658</v>
      </c>
      <c r="B37" s="38">
        <v>-112.992674</v>
      </c>
      <c r="C37" s="39" t="s">
        <v>84</v>
      </c>
      <c r="D37" s="36"/>
    </row>
    <row r="38" ht="14.25" customHeight="1">
      <c r="A38" s="38">
        <v>39.467755</v>
      </c>
      <c r="B38" s="38">
        <v>-112.992672</v>
      </c>
      <c r="C38" s="39" t="s">
        <v>85</v>
      </c>
      <c r="D38" s="36"/>
    </row>
    <row r="39" ht="14.25" customHeight="1">
      <c r="A39" s="38">
        <v>39.467758</v>
      </c>
      <c r="B39" s="38">
        <v>-112.991511</v>
      </c>
      <c r="C39" s="39" t="s">
        <v>86</v>
      </c>
      <c r="D39" s="36"/>
    </row>
    <row r="40" ht="14.25" customHeight="1">
      <c r="A40" s="38">
        <v>39.468658</v>
      </c>
      <c r="B40" s="38">
        <v>-112.991511</v>
      </c>
      <c r="C40" s="39" t="s">
        <v>87</v>
      </c>
      <c r="D40" s="36"/>
    </row>
    <row r="41" ht="14.25" customHeight="1">
      <c r="A41" s="38">
        <v>39.469559</v>
      </c>
      <c r="B41" s="38">
        <v>-112.991513</v>
      </c>
      <c r="C41" s="39" t="s">
        <v>88</v>
      </c>
      <c r="D41" s="36"/>
    </row>
    <row r="42" ht="14.25" customHeight="1">
      <c r="A42" s="38">
        <v>39.46956</v>
      </c>
      <c r="B42" s="38">
        <v>-112.99035</v>
      </c>
      <c r="C42" s="39" t="s">
        <v>89</v>
      </c>
      <c r="D42" s="36"/>
    </row>
    <row r="43" ht="14.25" customHeight="1">
      <c r="A43" s="38">
        <v>39.46866</v>
      </c>
      <c r="B43" s="38">
        <v>-112.990349</v>
      </c>
      <c r="C43" s="39" t="s">
        <v>90</v>
      </c>
      <c r="D43" s="36"/>
    </row>
    <row r="44" ht="14.25" customHeight="1">
      <c r="A44" s="38">
        <v>39.46866</v>
      </c>
      <c r="B44" s="38">
        <v>-112.989188</v>
      </c>
      <c r="C44" s="39" t="s">
        <v>91</v>
      </c>
      <c r="D44" s="36"/>
    </row>
    <row r="45" ht="14.25" customHeight="1">
      <c r="A45" s="38">
        <v>39.46956</v>
      </c>
      <c r="B45" s="38">
        <v>-112.989189</v>
      </c>
      <c r="C45" s="39" t="s">
        <v>92</v>
      </c>
      <c r="D45" s="36"/>
    </row>
    <row r="46" ht="14.25" customHeight="1">
      <c r="A46" s="38">
        <v>39.469562</v>
      </c>
      <c r="B46" s="38">
        <v>-112.988025</v>
      </c>
      <c r="C46" s="39" t="s">
        <v>93</v>
      </c>
      <c r="D46" s="36"/>
    </row>
    <row r="47" ht="14.25" customHeight="1">
      <c r="A47" s="38">
        <v>39.46866</v>
      </c>
      <c r="B47" s="38">
        <v>-112.988025</v>
      </c>
      <c r="C47" s="39" t="s">
        <v>94</v>
      </c>
      <c r="D47" s="36"/>
    </row>
    <row r="48" ht="14.25" customHeight="1">
      <c r="A48" s="38">
        <v>39.46776</v>
      </c>
      <c r="B48" s="38">
        <v>-112.988024</v>
      </c>
      <c r="C48" s="39" t="s">
        <v>95</v>
      </c>
      <c r="D48" s="36"/>
    </row>
    <row r="49" ht="14.25" customHeight="1">
      <c r="A49" s="38">
        <v>39.466859</v>
      </c>
      <c r="B49" s="38">
        <v>-112.988023</v>
      </c>
      <c r="C49" s="39" t="s">
        <v>96</v>
      </c>
      <c r="D49" s="36"/>
    </row>
    <row r="50" ht="14.25" customHeight="1">
      <c r="A50" s="38">
        <v>39.465959</v>
      </c>
      <c r="B50" s="38">
        <v>-112.988023</v>
      </c>
      <c r="C50" s="39" t="s">
        <v>97</v>
      </c>
      <c r="D50" s="36"/>
    </row>
    <row r="51" ht="14.25" customHeight="1">
      <c r="A51" s="38">
        <v>39.465959</v>
      </c>
      <c r="B51" s="38">
        <v>-112.989184</v>
      </c>
      <c r="C51" s="39" t="s">
        <v>98</v>
      </c>
      <c r="D51" s="36"/>
    </row>
    <row r="52" ht="14.25" customHeight="1">
      <c r="A52" s="38">
        <v>39.466858</v>
      </c>
      <c r="B52" s="38">
        <v>-112.989185</v>
      </c>
      <c r="C52" s="39" t="s">
        <v>99</v>
      </c>
      <c r="D52" s="36"/>
    </row>
    <row r="53" ht="14.25" customHeight="1">
      <c r="A53" s="38">
        <v>39.467759</v>
      </c>
      <c r="B53" s="38">
        <v>-112.989186</v>
      </c>
      <c r="C53" s="39" t="s">
        <v>100</v>
      </c>
      <c r="D53" s="36"/>
    </row>
    <row r="54" ht="14.25" customHeight="1">
      <c r="A54" s="38">
        <v>39.467758</v>
      </c>
      <c r="B54" s="38">
        <v>-112.990348</v>
      </c>
      <c r="C54" s="39" t="s">
        <v>101</v>
      </c>
      <c r="D54" s="36"/>
    </row>
    <row r="55" ht="14.25" customHeight="1">
      <c r="A55" s="38">
        <v>39.466858</v>
      </c>
      <c r="B55" s="38">
        <v>-112.990348</v>
      </c>
      <c r="C55" s="39" t="s">
        <v>102</v>
      </c>
      <c r="D55" s="36"/>
    </row>
    <row r="56" ht="14.25" customHeight="1">
      <c r="A56" s="38">
        <v>39.465957</v>
      </c>
      <c r="B56" s="38">
        <v>-112.990347</v>
      </c>
      <c r="C56" s="39" t="s">
        <v>103</v>
      </c>
      <c r="D56" s="36"/>
    </row>
    <row r="57" ht="14.25" customHeight="1">
      <c r="A57" s="38">
        <v>39.465956</v>
      </c>
      <c r="B57" s="38">
        <v>-112.991508</v>
      </c>
      <c r="C57" s="39" t="s">
        <v>104</v>
      </c>
      <c r="D57" s="36"/>
    </row>
    <row r="58" ht="14.25" customHeight="1">
      <c r="A58" s="38">
        <v>39.466858</v>
      </c>
      <c r="B58" s="38">
        <v>-112.99151</v>
      </c>
      <c r="C58" s="39" t="s">
        <v>105</v>
      </c>
      <c r="D58" s="36"/>
    </row>
    <row r="59" ht="14.25" customHeight="1">
      <c r="A59" s="38">
        <v>39.466915</v>
      </c>
      <c r="B59" s="38">
        <v>-112.991554</v>
      </c>
      <c r="C59" s="39" t="s">
        <v>106</v>
      </c>
      <c r="D59" s="36"/>
    </row>
    <row r="60" ht="14.25" customHeight="1">
      <c r="A60" s="38">
        <v>39.466857</v>
      </c>
      <c r="B60" s="38">
        <v>-112.992671</v>
      </c>
      <c r="C60" s="39" t="s">
        <v>107</v>
      </c>
      <c r="D60" s="36"/>
    </row>
    <row r="61" ht="14.25" customHeight="1">
      <c r="A61" s="38">
        <v>39.465955</v>
      </c>
      <c r="B61" s="38">
        <v>-112.99267</v>
      </c>
      <c r="C61" s="39" t="s">
        <v>108</v>
      </c>
      <c r="D61" s="36"/>
    </row>
    <row r="62" ht="14.25" customHeight="1">
      <c r="A62" s="38">
        <v>39.465955</v>
      </c>
      <c r="B62" s="38">
        <v>-112.993832</v>
      </c>
      <c r="C62" s="39" t="s">
        <v>109</v>
      </c>
      <c r="D62" s="36"/>
    </row>
    <row r="63" ht="14.25" customHeight="1">
      <c r="A63" s="38">
        <v>39.466856</v>
      </c>
      <c r="B63" s="38">
        <v>-112.993833</v>
      </c>
      <c r="C63" s="39" t="s">
        <v>110</v>
      </c>
      <c r="D63" s="36"/>
    </row>
    <row r="64" ht="14.25" customHeight="1">
      <c r="A64" s="38">
        <v>39.466854</v>
      </c>
      <c r="B64" s="38">
        <v>-112.994994</v>
      </c>
      <c r="C64" s="39" t="s">
        <v>111</v>
      </c>
      <c r="D64" s="36"/>
    </row>
    <row r="65" ht="14.25" customHeight="1">
      <c r="A65" s="38">
        <v>39.465954</v>
      </c>
      <c r="B65" s="38">
        <v>-112.994993</v>
      </c>
      <c r="C65" s="39" t="s">
        <v>112</v>
      </c>
      <c r="D65" s="36"/>
    </row>
    <row r="66" ht="14.25" customHeight="1">
      <c r="A66" s="38">
        <v>39.465952</v>
      </c>
      <c r="B66" s="38">
        <v>-112.996155</v>
      </c>
      <c r="C66" s="39" t="s">
        <v>113</v>
      </c>
      <c r="D66" s="36"/>
    </row>
    <row r="67" ht="14.25" customHeight="1">
      <c r="A67" s="38">
        <v>39.466854</v>
      </c>
      <c r="B67" s="38">
        <v>-112.996157</v>
      </c>
      <c r="C67" s="39" t="s">
        <v>114</v>
      </c>
      <c r="D67" s="36"/>
    </row>
    <row r="68" ht="14.25" customHeight="1">
      <c r="A68" s="38">
        <v>39.467755</v>
      </c>
      <c r="B68" s="38">
        <v>-112.996157</v>
      </c>
      <c r="C68" s="39" t="s">
        <v>115</v>
      </c>
      <c r="D68" s="36"/>
    </row>
    <row r="69" ht="14.25" customHeight="1">
      <c r="A69" s="38">
        <v>39.467753</v>
      </c>
      <c r="B69" s="38">
        <v>-112.99732</v>
      </c>
      <c r="C69" s="39" t="s">
        <v>116</v>
      </c>
      <c r="D69" s="36"/>
    </row>
    <row r="70" ht="14.25" customHeight="1">
      <c r="A70" s="38">
        <v>39.466853</v>
      </c>
      <c r="B70" s="38">
        <v>-112.997318</v>
      </c>
      <c r="C70" s="39" t="s">
        <v>117</v>
      </c>
      <c r="D70" s="36"/>
    </row>
    <row r="71" ht="14.25" customHeight="1">
      <c r="A71" s="38">
        <v>39.465952</v>
      </c>
      <c r="B71" s="38">
        <v>-112.997316</v>
      </c>
      <c r="C71" s="39" t="s">
        <v>118</v>
      </c>
      <c r="D71" s="36"/>
    </row>
    <row r="72" ht="14.25" customHeight="1">
      <c r="A72" s="38">
        <v>39.46595</v>
      </c>
      <c r="B72" s="38">
        <v>-112.99964</v>
      </c>
      <c r="C72" s="39" t="s">
        <v>119</v>
      </c>
      <c r="D72" s="36"/>
    </row>
    <row r="73" ht="14.25" customHeight="1">
      <c r="A73" s="38">
        <v>39.465948</v>
      </c>
      <c r="B73" s="38">
        <v>-113.001963</v>
      </c>
      <c r="C73" s="39" t="s">
        <v>120</v>
      </c>
      <c r="D73" s="36"/>
    </row>
    <row r="74" ht="14.25" customHeight="1">
      <c r="A74" s="38">
        <v>39.465947</v>
      </c>
      <c r="B74" s="38">
        <v>-113.004288</v>
      </c>
      <c r="C74" s="39" t="s">
        <v>121</v>
      </c>
      <c r="D74" s="36"/>
    </row>
    <row r="75" ht="14.25" customHeight="1">
      <c r="A75" s="38">
        <v>39.467747</v>
      </c>
      <c r="B75" s="38">
        <v>-113.004289</v>
      </c>
      <c r="C75" s="39" t="s">
        <v>122</v>
      </c>
      <c r="D75" s="36"/>
    </row>
    <row r="76" ht="14.25" customHeight="1">
      <c r="A76" s="38">
        <v>39.469493</v>
      </c>
      <c r="B76" s="38">
        <v>-113.004272</v>
      </c>
      <c r="C76" s="39" t="s">
        <v>123</v>
      </c>
      <c r="D76" s="36"/>
    </row>
    <row r="77" ht="14.25" customHeight="1">
      <c r="A77" s="38">
        <v>39.467086</v>
      </c>
      <c r="B77" s="38">
        <v>-112.993848</v>
      </c>
      <c r="C77" s="39" t="s">
        <v>124</v>
      </c>
      <c r="D77" s="36"/>
    </row>
    <row r="78" ht="14.25" customHeight="1">
      <c r="A78" s="38">
        <v>38.912684</v>
      </c>
      <c r="B78" s="38">
        <v>-112.705118</v>
      </c>
      <c r="C78" s="39" t="s">
        <v>125</v>
      </c>
      <c r="D78" s="36"/>
    </row>
    <row r="79" ht="14.25" customHeight="1">
      <c r="A79" s="38">
        <v>38.930734</v>
      </c>
      <c r="B79" s="38">
        <v>-112.753458</v>
      </c>
      <c r="C79" s="39" t="s">
        <v>126</v>
      </c>
      <c r="D79" s="36"/>
    </row>
    <row r="80" ht="14.25" customHeight="1">
      <c r="A80" s="38">
        <v>38.931044</v>
      </c>
      <c r="B80" s="38">
        <v>-112.729448</v>
      </c>
      <c r="C80" s="39" t="s">
        <v>127</v>
      </c>
      <c r="D80" s="36"/>
    </row>
    <row r="81" ht="14.25" customHeight="1">
      <c r="A81" s="38">
        <v>38.931434</v>
      </c>
      <c r="B81" s="38">
        <v>-112.705528</v>
      </c>
      <c r="C81" s="39" t="s">
        <v>128</v>
      </c>
      <c r="D81" s="36"/>
    </row>
    <row r="82" ht="14.25" customHeight="1">
      <c r="A82" s="38">
        <v>38.948951</v>
      </c>
      <c r="B82" s="38">
        <v>-112.77954</v>
      </c>
      <c r="C82" s="39" t="s">
        <v>129</v>
      </c>
      <c r="D82" s="36"/>
    </row>
    <row r="83" ht="14.25" customHeight="1">
      <c r="A83" s="38">
        <v>38.949454</v>
      </c>
      <c r="B83" s="38">
        <v>-112.753918</v>
      </c>
      <c r="C83" s="39" t="s">
        <v>130</v>
      </c>
      <c r="D83" s="36"/>
    </row>
    <row r="84" ht="14.25" customHeight="1">
      <c r="A84" s="38">
        <v>38.95002</v>
      </c>
      <c r="B84" s="38">
        <v>-112.73067</v>
      </c>
      <c r="C84" s="39" t="s">
        <v>131</v>
      </c>
      <c r="D84" s="36"/>
    </row>
    <row r="85" ht="14.25" customHeight="1">
      <c r="A85" s="38">
        <v>38.950074</v>
      </c>
      <c r="B85" s="38">
        <v>-112.705908</v>
      </c>
      <c r="C85" s="39" t="s">
        <v>132</v>
      </c>
      <c r="D85" s="36"/>
    </row>
    <row r="86" ht="14.25" customHeight="1">
      <c r="A86" s="38">
        <v>38.967464</v>
      </c>
      <c r="B86" s="38">
        <v>-112.802398</v>
      </c>
      <c r="C86" s="39" t="s">
        <v>133</v>
      </c>
      <c r="D86" s="36"/>
    </row>
    <row r="87" ht="14.25" customHeight="1">
      <c r="A87" s="38">
        <v>38.967874</v>
      </c>
      <c r="B87" s="38">
        <v>-112.778408</v>
      </c>
      <c r="C87" s="39" t="s">
        <v>134</v>
      </c>
      <c r="D87" s="36"/>
    </row>
    <row r="88" ht="14.25" customHeight="1">
      <c r="A88" s="38">
        <v>38.96716</v>
      </c>
      <c r="B88" s="38">
        <v>-112.75549</v>
      </c>
      <c r="C88" s="39" t="s">
        <v>135</v>
      </c>
      <c r="D88" s="36"/>
    </row>
    <row r="89" ht="14.25" customHeight="1">
      <c r="A89" s="38">
        <v>38.968534</v>
      </c>
      <c r="B89" s="38">
        <v>-112.730388</v>
      </c>
      <c r="C89" s="39" t="s">
        <v>136</v>
      </c>
      <c r="D89" s="36"/>
    </row>
    <row r="90" ht="14.25" customHeight="1">
      <c r="A90" s="38">
        <v>38.968854</v>
      </c>
      <c r="B90" s="38">
        <v>-112.706468</v>
      </c>
      <c r="C90" s="39" t="s">
        <v>137</v>
      </c>
      <c r="D90" s="36"/>
    </row>
    <row r="91" ht="14.25" customHeight="1">
      <c r="A91" s="38">
        <v>38.986184</v>
      </c>
      <c r="B91" s="38">
        <v>-112.802868</v>
      </c>
      <c r="C91" s="39" t="s">
        <v>138</v>
      </c>
      <c r="D91" s="36"/>
    </row>
    <row r="92" ht="14.25" customHeight="1">
      <c r="A92" s="38">
        <v>38.986504</v>
      </c>
      <c r="B92" s="38">
        <v>-112.778918</v>
      </c>
      <c r="C92" s="39" t="s">
        <v>139</v>
      </c>
      <c r="D92" s="36"/>
    </row>
    <row r="93" ht="14.25" customHeight="1">
      <c r="A93" s="38">
        <v>38.986894</v>
      </c>
      <c r="B93" s="38">
        <v>-112.754928</v>
      </c>
      <c r="C93" s="39" t="s">
        <v>140</v>
      </c>
      <c r="D93" s="36"/>
    </row>
    <row r="94" ht="14.25" customHeight="1">
      <c r="A94" s="38">
        <v>38.98725</v>
      </c>
      <c r="B94" s="38">
        <v>-112.73086</v>
      </c>
      <c r="C94" s="39" t="s">
        <v>141</v>
      </c>
      <c r="D94" s="36"/>
    </row>
    <row r="95" ht="14.25" customHeight="1">
      <c r="A95" s="38">
        <v>38.987594</v>
      </c>
      <c r="B95" s="38">
        <v>-112.706928</v>
      </c>
      <c r="C95" s="39" t="s">
        <v>142</v>
      </c>
      <c r="D95" s="36"/>
    </row>
    <row r="96" ht="14.25" customHeight="1">
      <c r="A96" s="38">
        <v>39.004554</v>
      </c>
      <c r="B96" s="38">
        <v>-112.827398</v>
      </c>
      <c r="C96" s="39" t="s">
        <v>143</v>
      </c>
      <c r="D96" s="36"/>
    </row>
    <row r="97" ht="14.25" customHeight="1">
      <c r="A97" s="38">
        <v>39.005294</v>
      </c>
      <c r="B97" s="38">
        <v>-112.779318</v>
      </c>
      <c r="C97" s="39" t="s">
        <v>144</v>
      </c>
      <c r="D97" s="36"/>
    </row>
    <row r="98" ht="14.25" customHeight="1">
      <c r="A98" s="38">
        <v>39.005834</v>
      </c>
      <c r="B98" s="38">
        <v>-112.755788</v>
      </c>
      <c r="C98" s="39" t="s">
        <v>145</v>
      </c>
      <c r="D98" s="36"/>
    </row>
    <row r="99" ht="14.25" customHeight="1">
      <c r="A99" s="38">
        <v>39.005994</v>
      </c>
      <c r="B99" s="38">
        <v>-112.731288</v>
      </c>
      <c r="C99" s="39" t="s">
        <v>146</v>
      </c>
      <c r="D99" s="36"/>
    </row>
    <row r="100" ht="14.25" customHeight="1">
      <c r="A100" s="38">
        <v>39.006364</v>
      </c>
      <c r="B100" s="38">
        <v>-112.707308</v>
      </c>
      <c r="C100" s="39" t="s">
        <v>147</v>
      </c>
      <c r="D100" s="36"/>
    </row>
    <row r="101" ht="14.25" customHeight="1">
      <c r="A101" s="38">
        <v>39.023284</v>
      </c>
      <c r="B101" s="38">
        <v>-112.827858</v>
      </c>
      <c r="C101" s="39" t="s">
        <v>49</v>
      </c>
      <c r="D101" s="36"/>
    </row>
    <row r="102" ht="14.25" customHeight="1">
      <c r="A102" s="38">
        <v>39.023624</v>
      </c>
      <c r="B102" s="38">
        <v>-112.803768</v>
      </c>
      <c r="C102" s="39" t="s">
        <v>148</v>
      </c>
      <c r="D102" s="36"/>
    </row>
    <row r="103" ht="14.25" customHeight="1">
      <c r="A103" s="38">
        <v>39.024034</v>
      </c>
      <c r="B103" s="38">
        <v>-112.779748</v>
      </c>
      <c r="C103" s="39" t="s">
        <v>149</v>
      </c>
      <c r="D103" s="36"/>
    </row>
    <row r="104" ht="14.25" customHeight="1">
      <c r="A104" s="38">
        <v>39.024424</v>
      </c>
      <c r="B104" s="38">
        <v>-112.755728</v>
      </c>
      <c r="C104" s="39" t="s">
        <v>150</v>
      </c>
      <c r="D104" s="36"/>
    </row>
    <row r="105" ht="14.25" customHeight="1">
      <c r="A105" s="38">
        <v>39.024734</v>
      </c>
      <c r="B105" s="38">
        <v>-112.731798</v>
      </c>
      <c r="C105" s="39" t="s">
        <v>151</v>
      </c>
      <c r="D105" s="36"/>
    </row>
    <row r="106" ht="14.25" customHeight="1">
      <c r="A106" s="38">
        <v>39.025114</v>
      </c>
      <c r="B106" s="38">
        <v>-112.707738</v>
      </c>
      <c r="C106" s="39" t="s">
        <v>152</v>
      </c>
      <c r="D106" s="36"/>
    </row>
    <row r="107" ht="14.25" customHeight="1">
      <c r="A107" s="38">
        <v>39.042394</v>
      </c>
      <c r="B107" s="38">
        <v>-112.804308</v>
      </c>
      <c r="C107" s="39" t="s">
        <v>153</v>
      </c>
      <c r="D107" s="36"/>
    </row>
    <row r="108" ht="14.25" customHeight="1">
      <c r="A108" s="38">
        <v>39.042754</v>
      </c>
      <c r="B108" s="38">
        <v>-112.780228</v>
      </c>
      <c r="C108" s="39" t="s">
        <v>154</v>
      </c>
      <c r="D108" s="36"/>
    </row>
    <row r="109" ht="14.25" customHeight="1">
      <c r="A109" s="38">
        <v>39.043164</v>
      </c>
      <c r="B109" s="38">
        <v>-112.756208</v>
      </c>
      <c r="C109" s="39" t="s">
        <v>155</v>
      </c>
      <c r="D109" s="36"/>
    </row>
    <row r="110" ht="14.25" customHeight="1">
      <c r="A110" s="38">
        <v>39.043474</v>
      </c>
      <c r="B110" s="38">
        <v>-112.732228</v>
      </c>
      <c r="C110" s="39" t="s">
        <v>156</v>
      </c>
      <c r="D110" s="36"/>
    </row>
    <row r="111" ht="14.25" customHeight="1">
      <c r="A111" s="38">
        <v>39.043884</v>
      </c>
      <c r="B111" s="38">
        <v>-112.708188</v>
      </c>
      <c r="C111" s="39" t="s">
        <v>157</v>
      </c>
      <c r="D111" s="36"/>
    </row>
    <row r="112" ht="14.25" customHeight="1">
      <c r="A112" s="38">
        <v>38.91408</v>
      </c>
      <c r="B112" s="38">
        <v>-112.60913</v>
      </c>
      <c r="C112" s="39" t="s">
        <v>158</v>
      </c>
      <c r="D112" s="36"/>
    </row>
    <row r="113" ht="14.25" customHeight="1">
      <c r="A113" s="38">
        <v>38.91293</v>
      </c>
      <c r="B113" s="38">
        <v>-112.68114</v>
      </c>
      <c r="C113" s="39" t="s">
        <v>159</v>
      </c>
      <c r="D113" s="36"/>
    </row>
    <row r="114" ht="14.25" customHeight="1">
      <c r="A114" s="38">
        <v>38.913374</v>
      </c>
      <c r="B114" s="38">
        <v>-112.657088</v>
      </c>
      <c r="C114" s="39" t="s">
        <v>160</v>
      </c>
      <c r="D114" s="36"/>
    </row>
    <row r="115" ht="14.25" customHeight="1">
      <c r="A115" s="38">
        <v>38.913694</v>
      </c>
      <c r="B115" s="38">
        <v>-112.633128</v>
      </c>
      <c r="C115" s="39" t="s">
        <v>161</v>
      </c>
      <c r="D115" s="36"/>
    </row>
    <row r="116" ht="14.25" customHeight="1">
      <c r="A116" s="38">
        <v>38.9318</v>
      </c>
      <c r="B116" s="38">
        <v>-112.6816</v>
      </c>
      <c r="C116" s="39" t="s">
        <v>162</v>
      </c>
      <c r="D116" s="36"/>
    </row>
    <row r="117" ht="14.25" customHeight="1">
      <c r="A117" s="38">
        <v>38.932144</v>
      </c>
      <c r="B117" s="38">
        <v>-112.657538</v>
      </c>
      <c r="C117" s="39" t="s">
        <v>163</v>
      </c>
      <c r="D117" s="36"/>
    </row>
    <row r="118" ht="14.25" customHeight="1">
      <c r="A118" s="38">
        <v>38.932464</v>
      </c>
      <c r="B118" s="38">
        <v>-112.633548</v>
      </c>
      <c r="C118" s="39" t="s">
        <v>164</v>
      </c>
      <c r="D118" s="36"/>
    </row>
    <row r="119" ht="14.25" customHeight="1">
      <c r="A119" s="38">
        <v>38.932854</v>
      </c>
      <c r="B119" s="38">
        <v>-112.609638</v>
      </c>
      <c r="C119" s="39" t="s">
        <v>165</v>
      </c>
      <c r="D119" s="36"/>
    </row>
    <row r="120" ht="14.25" customHeight="1">
      <c r="A120" s="38">
        <v>38.93318</v>
      </c>
      <c r="B120" s="38">
        <v>-112.58657</v>
      </c>
      <c r="C120" s="39" t="s">
        <v>166</v>
      </c>
      <c r="D120" s="36"/>
    </row>
    <row r="121" ht="14.25" customHeight="1">
      <c r="A121" s="38">
        <v>38.950504</v>
      </c>
      <c r="B121" s="38">
        <v>-112.681948</v>
      </c>
      <c r="C121" s="39" t="s">
        <v>167</v>
      </c>
      <c r="D121" s="36"/>
    </row>
    <row r="122" ht="14.25" customHeight="1">
      <c r="A122" s="38">
        <v>38.95129</v>
      </c>
      <c r="B122" s="38">
        <v>-112.65793</v>
      </c>
      <c r="C122" s="39" t="s">
        <v>168</v>
      </c>
      <c r="D122" s="36"/>
    </row>
    <row r="123" ht="14.25" customHeight="1">
      <c r="A123" s="38">
        <v>38.95118</v>
      </c>
      <c r="B123" s="38">
        <v>-112.63393</v>
      </c>
      <c r="C123" s="39" t="s">
        <v>169</v>
      </c>
      <c r="D123" s="36"/>
    </row>
    <row r="124" ht="14.25" customHeight="1">
      <c r="A124" s="38">
        <v>38.95104</v>
      </c>
      <c r="B124" s="38">
        <v>-112.61079</v>
      </c>
      <c r="C124" s="39" t="s">
        <v>170</v>
      </c>
      <c r="D124" s="36"/>
    </row>
    <row r="125" ht="14.25" customHeight="1">
      <c r="A125" s="38">
        <v>38.95186</v>
      </c>
      <c r="B125" s="38">
        <v>-112.58604</v>
      </c>
      <c r="C125" s="39" t="s">
        <v>171</v>
      </c>
      <c r="D125" s="36"/>
    </row>
    <row r="126" ht="14.25" customHeight="1">
      <c r="A126" s="38">
        <v>38.96926</v>
      </c>
      <c r="B126" s="38">
        <v>-112.68249</v>
      </c>
      <c r="C126" s="39" t="s">
        <v>172</v>
      </c>
      <c r="D126" s="36"/>
    </row>
    <row r="127" ht="14.25" customHeight="1">
      <c r="A127" s="38">
        <v>38.96964</v>
      </c>
      <c r="B127" s="38">
        <v>-112.6587</v>
      </c>
      <c r="C127" s="39" t="s">
        <v>173</v>
      </c>
      <c r="D127" s="36"/>
    </row>
    <row r="128" ht="14.25" customHeight="1">
      <c r="A128" s="38">
        <v>38.969954</v>
      </c>
      <c r="B128" s="38">
        <v>-112.634378</v>
      </c>
      <c r="C128" s="39" t="s">
        <v>174</v>
      </c>
      <c r="D128" s="36"/>
    </row>
    <row r="129" ht="14.25" customHeight="1">
      <c r="A129" s="38">
        <v>38.970334</v>
      </c>
      <c r="B129" s="38">
        <v>-112.610448</v>
      </c>
      <c r="C129" s="39" t="s">
        <v>175</v>
      </c>
      <c r="D129" s="36"/>
    </row>
    <row r="130" ht="14.25" customHeight="1">
      <c r="A130" s="38">
        <v>38.970584</v>
      </c>
      <c r="B130" s="38">
        <v>-112.586388</v>
      </c>
      <c r="C130" s="39" t="s">
        <v>176</v>
      </c>
      <c r="D130" s="36"/>
    </row>
    <row r="131" ht="14.25" customHeight="1">
      <c r="A131" s="38">
        <v>38.970424</v>
      </c>
      <c r="B131" s="38">
        <v>-112.563438</v>
      </c>
      <c r="C131" s="39" t="s">
        <v>177</v>
      </c>
      <c r="D131" s="36"/>
    </row>
    <row r="132" ht="14.25" customHeight="1">
      <c r="A132" s="38">
        <v>38.987934</v>
      </c>
      <c r="B132" s="38">
        <v>-112.682928</v>
      </c>
      <c r="C132" s="39" t="s">
        <v>178</v>
      </c>
      <c r="D132" s="36"/>
    </row>
    <row r="133" ht="14.25" customHeight="1">
      <c r="A133" s="38">
        <v>38.988314</v>
      </c>
      <c r="B133" s="38">
        <v>-112.658848</v>
      </c>
      <c r="C133" s="39" t="s">
        <v>179</v>
      </c>
      <c r="D133" s="36"/>
    </row>
    <row r="134" ht="14.25" customHeight="1">
      <c r="A134" s="38">
        <v>38.988524</v>
      </c>
      <c r="B134" s="38">
        <v>-112.634908</v>
      </c>
      <c r="C134" s="39" t="s">
        <v>180</v>
      </c>
      <c r="D134" s="36"/>
    </row>
    <row r="135" ht="14.25" customHeight="1">
      <c r="A135" s="38">
        <v>38.989014</v>
      </c>
      <c r="B135" s="38">
        <v>-112.610848</v>
      </c>
      <c r="C135" s="39" t="s">
        <v>181</v>
      </c>
      <c r="D135" s="36"/>
    </row>
    <row r="136" ht="14.25" customHeight="1">
      <c r="A136" s="38">
        <v>38.98908</v>
      </c>
      <c r="B136" s="38">
        <v>-112.58714</v>
      </c>
      <c r="C136" s="39" t="s">
        <v>182</v>
      </c>
      <c r="D136" s="36"/>
    </row>
    <row r="137" ht="14.25" customHeight="1">
      <c r="A137" s="38">
        <v>38.989614</v>
      </c>
      <c r="B137" s="38">
        <v>-112.562828</v>
      </c>
      <c r="C137" s="39" t="s">
        <v>183</v>
      </c>
      <c r="D137" s="36"/>
    </row>
    <row r="138" ht="14.25" customHeight="1">
      <c r="A138" s="38">
        <v>39.004894</v>
      </c>
      <c r="B138" s="38">
        <v>-112.803378</v>
      </c>
      <c r="C138" s="39" t="s">
        <v>184</v>
      </c>
      <c r="D138" s="36"/>
    </row>
    <row r="139" ht="14.25" customHeight="1">
      <c r="A139" s="38">
        <v>39.006734</v>
      </c>
      <c r="B139" s="38">
        <v>-112.683158</v>
      </c>
      <c r="C139" s="39" t="s">
        <v>185</v>
      </c>
      <c r="D139" s="36"/>
    </row>
    <row r="140" ht="14.25" customHeight="1">
      <c r="A140" s="38">
        <v>39.007014</v>
      </c>
      <c r="B140" s="38">
        <v>-112.659198</v>
      </c>
      <c r="C140" s="39" t="s">
        <v>186</v>
      </c>
      <c r="D140" s="36"/>
    </row>
    <row r="141" ht="14.25" customHeight="1">
      <c r="A141" s="38">
        <v>39.007464</v>
      </c>
      <c r="B141" s="38">
        <v>-112.635188</v>
      </c>
      <c r="C141" s="39" t="s">
        <v>187</v>
      </c>
      <c r="D141" s="36"/>
    </row>
    <row r="142" ht="14.25" customHeight="1">
      <c r="A142" s="38">
        <v>39.007744</v>
      </c>
      <c r="B142" s="38">
        <v>-112.611358</v>
      </c>
      <c r="C142" s="39" t="s">
        <v>188</v>
      </c>
      <c r="D142" s="36"/>
    </row>
    <row r="143" ht="14.25" customHeight="1">
      <c r="A143" s="38">
        <v>39.00825</v>
      </c>
      <c r="B143" s="38">
        <v>-112.58776</v>
      </c>
      <c r="C143" s="39" t="s">
        <v>189</v>
      </c>
      <c r="D143" s="36"/>
    </row>
    <row r="144" ht="14.25" customHeight="1">
      <c r="A144" s="38">
        <v>39.00817</v>
      </c>
      <c r="B144" s="38">
        <v>-112.56369</v>
      </c>
      <c r="C144" s="39" t="s">
        <v>190</v>
      </c>
      <c r="D144" s="36"/>
    </row>
    <row r="145" ht="14.25" customHeight="1">
      <c r="A145" s="38">
        <v>39.025484</v>
      </c>
      <c r="B145" s="38">
        <v>-112.683738</v>
      </c>
      <c r="C145" s="39" t="s">
        <v>191</v>
      </c>
      <c r="D145" s="36"/>
    </row>
    <row r="146" ht="14.25" customHeight="1">
      <c r="A146" s="38">
        <v>39.022694</v>
      </c>
      <c r="B146" s="38">
        <v>-112.659788</v>
      </c>
      <c r="C146" s="39" t="s">
        <v>192</v>
      </c>
      <c r="D146" s="36"/>
    </row>
    <row r="147" ht="14.25" customHeight="1">
      <c r="A147" s="38">
        <v>39.026144</v>
      </c>
      <c r="B147" s="38">
        <v>-112.635688</v>
      </c>
      <c r="C147" s="39" t="s">
        <v>193</v>
      </c>
      <c r="D147" s="36"/>
    </row>
    <row r="148" ht="14.25" customHeight="1">
      <c r="A148" s="38">
        <v>39.026464</v>
      </c>
      <c r="B148" s="38">
        <v>-112.611668</v>
      </c>
      <c r="C148" s="39" t="s">
        <v>194</v>
      </c>
      <c r="D148" s="36"/>
    </row>
    <row r="149" ht="14.25" customHeight="1">
      <c r="A149" s="38">
        <v>39.026824</v>
      </c>
      <c r="B149" s="38">
        <v>-112.587598</v>
      </c>
      <c r="C149" s="39" t="s">
        <v>51</v>
      </c>
      <c r="D149" s="36"/>
    </row>
    <row r="150" ht="14.25" customHeight="1">
      <c r="A150" s="38">
        <v>39.027134</v>
      </c>
      <c r="B150" s="38">
        <v>-112.563578</v>
      </c>
      <c r="C150" s="39" t="s">
        <v>195</v>
      </c>
      <c r="D150" s="36"/>
    </row>
    <row r="151" ht="14.25" customHeight="1">
      <c r="A151" s="38">
        <v>39.027444</v>
      </c>
      <c r="B151" s="38">
        <v>-112.539608</v>
      </c>
      <c r="C151" s="39" t="s">
        <v>196</v>
      </c>
      <c r="D151" s="36"/>
    </row>
    <row r="152" ht="14.25" customHeight="1">
      <c r="A152" s="38">
        <v>39.044174</v>
      </c>
      <c r="B152" s="38">
        <v>-112.684158</v>
      </c>
      <c r="C152" s="39" t="s">
        <v>197</v>
      </c>
      <c r="D152" s="36"/>
    </row>
    <row r="153" ht="14.25" customHeight="1">
      <c r="A153" s="38">
        <v>39.044504</v>
      </c>
      <c r="B153" s="38">
        <v>-112.660168</v>
      </c>
      <c r="C153" s="39" t="s">
        <v>198</v>
      </c>
      <c r="D153" s="36"/>
    </row>
    <row r="154" ht="14.25" customHeight="1">
      <c r="A154" s="38">
        <v>39.044904</v>
      </c>
      <c r="B154" s="38">
        <v>-112.636118</v>
      </c>
      <c r="C154" s="39" t="s">
        <v>199</v>
      </c>
      <c r="D154" s="36"/>
    </row>
    <row r="155" ht="14.25" customHeight="1">
      <c r="A155" s="38">
        <v>39.04537</v>
      </c>
      <c r="B155" s="38">
        <v>-112.61259</v>
      </c>
      <c r="C155" s="39" t="s">
        <v>200</v>
      </c>
      <c r="D155" s="36"/>
    </row>
    <row r="156" ht="14.25" customHeight="1">
      <c r="A156" s="38">
        <v>39.04542</v>
      </c>
      <c r="B156" s="38">
        <v>-112.58824</v>
      </c>
      <c r="C156" s="39" t="s">
        <v>201</v>
      </c>
      <c r="D156" s="36"/>
    </row>
    <row r="157" ht="14.25" customHeight="1">
      <c r="A157" s="38">
        <v>39.045854</v>
      </c>
      <c r="B157" s="38">
        <v>-112.564038</v>
      </c>
      <c r="C157" s="39" t="s">
        <v>202</v>
      </c>
      <c r="D157" s="36"/>
    </row>
    <row r="158" ht="14.25" customHeight="1">
      <c r="A158" s="38">
        <v>39.046204</v>
      </c>
      <c r="B158" s="38">
        <v>-112.539968</v>
      </c>
      <c r="C158" s="39" t="s">
        <v>203</v>
      </c>
      <c r="D158" s="36"/>
    </row>
    <row r="159" ht="14.25" customHeight="1">
      <c r="A159" s="38">
        <v>39.621154</v>
      </c>
      <c r="B159" s="38">
        <v>-112.940338</v>
      </c>
      <c r="C159" s="39" t="s">
        <v>204</v>
      </c>
      <c r="D159" s="36"/>
    </row>
    <row r="160" ht="14.25" customHeight="1">
      <c r="A160" s="38">
        <v>39.621584</v>
      </c>
      <c r="B160" s="38">
        <v>-112.916178</v>
      </c>
      <c r="C160" s="39" t="s">
        <v>205</v>
      </c>
      <c r="D160" s="36"/>
    </row>
    <row r="161" ht="14.25" customHeight="1">
      <c r="A161" s="38">
        <v>39.62257</v>
      </c>
      <c r="B161" s="38">
        <v>-112.89218</v>
      </c>
      <c r="C161" s="39" t="s">
        <v>206</v>
      </c>
      <c r="D161" s="36"/>
    </row>
    <row r="162" ht="14.25" customHeight="1">
      <c r="A162" s="38">
        <v>39.622334</v>
      </c>
      <c r="B162" s="38">
        <v>-112.867728</v>
      </c>
      <c r="C162" s="39" t="s">
        <v>207</v>
      </c>
      <c r="D162" s="36"/>
    </row>
    <row r="163" ht="14.25" customHeight="1">
      <c r="A163" s="38">
        <v>39.623624</v>
      </c>
      <c r="B163" s="38">
        <v>-112.843308</v>
      </c>
      <c r="C163" s="39" t="s">
        <v>208</v>
      </c>
      <c r="D163" s="36"/>
    </row>
    <row r="164" ht="14.25" customHeight="1">
      <c r="A164" s="38">
        <v>39.62356</v>
      </c>
      <c r="B164" s="38">
        <v>-112.81956</v>
      </c>
      <c r="C164" s="39" t="s">
        <v>209</v>
      </c>
      <c r="D164" s="36"/>
    </row>
    <row r="165" ht="14.25" customHeight="1">
      <c r="A165" s="38">
        <v>39.62337</v>
      </c>
      <c r="B165" s="38">
        <v>-112.79452</v>
      </c>
      <c r="C165" s="39" t="s">
        <v>210</v>
      </c>
      <c r="D165" s="36"/>
    </row>
    <row r="166" ht="14.25" customHeight="1">
      <c r="A166" s="38">
        <v>39.624214</v>
      </c>
      <c r="B166" s="38">
        <v>-112.771098</v>
      </c>
      <c r="C166" s="39" t="s">
        <v>211</v>
      </c>
      <c r="D166" s="36"/>
    </row>
    <row r="167" ht="14.25" customHeight="1">
      <c r="A167" s="38">
        <v>39.64017</v>
      </c>
      <c r="B167" s="38">
        <v>-112.91647</v>
      </c>
      <c r="C167" s="39" t="s">
        <v>43</v>
      </c>
      <c r="D167" s="36"/>
    </row>
    <row r="168" ht="14.25" customHeight="1">
      <c r="A168" s="38">
        <v>39.64068</v>
      </c>
      <c r="B168" s="38">
        <v>-112.89218</v>
      </c>
      <c r="C168" s="39" t="s">
        <v>212</v>
      </c>
      <c r="D168" s="36"/>
    </row>
    <row r="169" ht="14.25" customHeight="1">
      <c r="A169" s="38">
        <v>39.640954</v>
      </c>
      <c r="B169" s="38">
        <v>-112.868108</v>
      </c>
      <c r="C169" s="39" t="s">
        <v>213</v>
      </c>
      <c r="D169" s="36"/>
    </row>
    <row r="170" ht="14.25" customHeight="1">
      <c r="A170" s="38">
        <v>39.641504</v>
      </c>
      <c r="B170" s="38">
        <v>-112.843898</v>
      </c>
      <c r="C170" s="39" t="s">
        <v>214</v>
      </c>
      <c r="D170" s="36"/>
    </row>
    <row r="171" ht="14.25" customHeight="1">
      <c r="A171" s="38">
        <v>39.642544</v>
      </c>
      <c r="B171" s="38">
        <v>-112.819468</v>
      </c>
      <c r="C171" s="39" t="s">
        <v>215</v>
      </c>
      <c r="D171" s="36"/>
    </row>
    <row r="172" ht="14.25" customHeight="1">
      <c r="A172" s="38">
        <v>39.642214</v>
      </c>
      <c r="B172" s="38">
        <v>-112.795578</v>
      </c>
      <c r="C172" s="39" t="s">
        <v>216</v>
      </c>
      <c r="D172" s="36"/>
    </row>
    <row r="173" ht="14.25" customHeight="1">
      <c r="A173" s="38">
        <v>39.642594</v>
      </c>
      <c r="B173" s="38">
        <v>-112.771328</v>
      </c>
      <c r="C173" s="39" t="s">
        <v>47</v>
      </c>
      <c r="D173" s="36"/>
    </row>
    <row r="174" ht="14.25" customHeight="1">
      <c r="A174" s="38">
        <v>39.658984</v>
      </c>
      <c r="B174" s="38">
        <v>-112.917228</v>
      </c>
      <c r="C174" s="39" t="s">
        <v>217</v>
      </c>
      <c r="D174" s="36"/>
    </row>
    <row r="175" ht="14.25" customHeight="1">
      <c r="A175" s="38">
        <v>39.659404</v>
      </c>
      <c r="B175" s="38">
        <v>-112.893068</v>
      </c>
      <c r="C175" s="39" t="s">
        <v>218</v>
      </c>
      <c r="D175" s="36"/>
    </row>
    <row r="176" ht="14.25" customHeight="1">
      <c r="A176" s="38">
        <v>39.659804</v>
      </c>
      <c r="B176" s="38">
        <v>-112.868828</v>
      </c>
      <c r="C176" s="39" t="s">
        <v>219</v>
      </c>
      <c r="D176" s="36"/>
    </row>
    <row r="177" ht="14.25" customHeight="1">
      <c r="A177" s="38">
        <v>39.660154</v>
      </c>
      <c r="B177" s="38">
        <v>-112.844498</v>
      </c>
      <c r="C177" s="39" t="s">
        <v>220</v>
      </c>
      <c r="D177" s="36"/>
    </row>
    <row r="178" ht="14.25" customHeight="1">
      <c r="A178" s="38">
        <v>39.660584</v>
      </c>
      <c r="B178" s="38">
        <v>-112.820278</v>
      </c>
      <c r="C178" s="39" t="s">
        <v>221</v>
      </c>
      <c r="D178" s="36"/>
    </row>
    <row r="179" ht="14.25" customHeight="1">
      <c r="A179" s="38">
        <v>39.660974</v>
      </c>
      <c r="B179" s="38">
        <v>-112.796008</v>
      </c>
      <c r="C179" s="39" t="s">
        <v>222</v>
      </c>
      <c r="D179" s="36"/>
    </row>
    <row r="180" ht="14.25" customHeight="1">
      <c r="A180" s="38">
        <v>39.659994</v>
      </c>
      <c r="B180" s="38">
        <v>-112.763908</v>
      </c>
      <c r="C180" s="39" t="s">
        <v>223</v>
      </c>
      <c r="D180" s="36"/>
    </row>
    <row r="181" ht="14.25" customHeight="1">
      <c r="A181" s="38">
        <v>39.677734</v>
      </c>
      <c r="B181" s="38">
        <v>-112.917698</v>
      </c>
      <c r="C181" s="39" t="s">
        <v>224</v>
      </c>
      <c r="D181" s="36"/>
    </row>
    <row r="182" ht="14.25" customHeight="1">
      <c r="A182" s="38">
        <v>39.678134</v>
      </c>
      <c r="B182" s="38">
        <v>-112.893468</v>
      </c>
      <c r="C182" s="39" t="s">
        <v>225</v>
      </c>
      <c r="D182" s="36"/>
    </row>
    <row r="183" ht="14.25" customHeight="1">
      <c r="A183" s="38">
        <v>39.678564</v>
      </c>
      <c r="B183" s="38">
        <v>-112.869288</v>
      </c>
      <c r="C183" s="39" t="s">
        <v>226</v>
      </c>
      <c r="D183" s="36"/>
    </row>
    <row r="184" ht="14.25" customHeight="1">
      <c r="A184" s="38">
        <v>39.678934</v>
      </c>
      <c r="B184" s="38">
        <v>-112.844998</v>
      </c>
      <c r="C184" s="39" t="s">
        <v>227</v>
      </c>
      <c r="D184" s="36"/>
    </row>
    <row r="185" ht="14.25" customHeight="1">
      <c r="A185" s="38">
        <v>39.679164</v>
      </c>
      <c r="B185" s="38">
        <v>-112.820658</v>
      </c>
      <c r="C185" s="39" t="s">
        <v>228</v>
      </c>
      <c r="D185" s="36"/>
    </row>
    <row r="186" ht="14.25" customHeight="1">
      <c r="A186" s="38">
        <v>39.679174</v>
      </c>
      <c r="B186" s="38">
        <v>-112.797428</v>
      </c>
      <c r="C186" s="39" t="s">
        <v>229</v>
      </c>
      <c r="D186" s="36"/>
    </row>
    <row r="187" ht="14.25" customHeight="1">
      <c r="A187" s="38">
        <v>39.680054</v>
      </c>
      <c r="B187" s="38">
        <v>-112.772288</v>
      </c>
      <c r="C187" s="39" t="s">
        <v>230</v>
      </c>
      <c r="D187" s="36"/>
    </row>
    <row r="188" ht="14.25" customHeight="1">
      <c r="A188" s="38">
        <v>39.696864</v>
      </c>
      <c r="B188" s="38">
        <v>-112.893988</v>
      </c>
      <c r="C188" s="39" t="s">
        <v>231</v>
      </c>
      <c r="D188" s="36"/>
    </row>
    <row r="189" ht="14.25" customHeight="1">
      <c r="A189" s="38">
        <v>39.697679</v>
      </c>
      <c r="B189" s="38">
        <v>-112.869749</v>
      </c>
      <c r="C189" s="39" t="s">
        <v>232</v>
      </c>
      <c r="D189" s="36"/>
    </row>
    <row r="190" ht="14.25" customHeight="1">
      <c r="A190" s="38">
        <v>39.697664</v>
      </c>
      <c r="B190" s="38">
        <v>-112.845498</v>
      </c>
      <c r="C190" s="39" t="s">
        <v>233</v>
      </c>
      <c r="D190" s="36"/>
    </row>
    <row r="191" ht="14.25" customHeight="1">
      <c r="A191" s="38">
        <v>39.698044</v>
      </c>
      <c r="B191" s="38">
        <v>-112.821238</v>
      </c>
      <c r="C191" s="39" t="s">
        <v>234</v>
      </c>
      <c r="D191" s="36"/>
    </row>
    <row r="192" ht="14.25" customHeight="1">
      <c r="A192" s="38">
        <v>39.698424</v>
      </c>
      <c r="B192" s="38">
        <v>-112.796998</v>
      </c>
      <c r="C192" s="39" t="s">
        <v>235</v>
      </c>
      <c r="D192" s="36"/>
    </row>
    <row r="193" ht="14.25" customHeight="1">
      <c r="A193" s="38">
        <v>39.698824</v>
      </c>
      <c r="B193" s="38">
        <v>-112.772668</v>
      </c>
      <c r="C193" s="39" t="s">
        <v>236</v>
      </c>
      <c r="D193" s="36"/>
    </row>
    <row r="194" ht="14.25" customHeight="1">
      <c r="A194" s="38">
        <v>39.712824</v>
      </c>
      <c r="B194" s="38">
        <v>-112.866128</v>
      </c>
      <c r="C194" s="39" t="s">
        <v>237</v>
      </c>
      <c r="D194" s="36"/>
    </row>
    <row r="195" ht="14.25" customHeight="1">
      <c r="A195" s="38">
        <v>39.716544</v>
      </c>
      <c r="B195" s="38">
        <v>-112.846088</v>
      </c>
      <c r="C195" s="39" t="s">
        <v>238</v>
      </c>
      <c r="D195" s="36"/>
    </row>
    <row r="196" ht="14.25" customHeight="1">
      <c r="A196" s="38">
        <v>39.716774</v>
      </c>
      <c r="B196" s="38">
        <v>-112.821748</v>
      </c>
      <c r="C196" s="39" t="s">
        <v>239</v>
      </c>
      <c r="D196" s="36"/>
    </row>
    <row r="197" ht="14.25" customHeight="1">
      <c r="A197" s="38">
        <v>39.717104</v>
      </c>
      <c r="B197" s="38">
        <v>-112.797518</v>
      </c>
      <c r="C197" s="39" t="s">
        <v>240</v>
      </c>
      <c r="D197" s="36"/>
    </row>
    <row r="198" ht="14.25" customHeight="1">
      <c r="A198" s="38">
        <v>39.717524</v>
      </c>
      <c r="B198" s="38">
        <v>-112.773038</v>
      </c>
      <c r="C198" s="39" t="s">
        <v>241</v>
      </c>
      <c r="D198" s="36"/>
    </row>
    <row r="199" ht="14.25" customHeight="1">
      <c r="A199" s="38">
        <v>39.730534</v>
      </c>
      <c r="B199" s="38">
        <v>-112.819728</v>
      </c>
      <c r="C199" s="39" t="s">
        <v>242</v>
      </c>
      <c r="D199" s="36"/>
    </row>
    <row r="200" ht="14.25" customHeight="1">
      <c r="A200" s="38">
        <v>39.735854</v>
      </c>
      <c r="B200" s="38">
        <v>-112.798068</v>
      </c>
      <c r="C200" s="39" t="s">
        <v>243</v>
      </c>
      <c r="D200" s="36"/>
    </row>
    <row r="201" ht="14.25" customHeight="1">
      <c r="A201" s="38">
        <v>39.550294</v>
      </c>
      <c r="B201" s="38">
        <v>-112.672198</v>
      </c>
      <c r="C201" s="39" t="s">
        <v>244</v>
      </c>
      <c r="D201" s="36"/>
    </row>
    <row r="202" ht="14.25" customHeight="1">
      <c r="A202" s="38">
        <v>39.569104</v>
      </c>
      <c r="B202" s="38">
        <v>-112.671398</v>
      </c>
      <c r="C202" s="39" t="s">
        <v>245</v>
      </c>
      <c r="D202" s="36"/>
    </row>
    <row r="203" ht="14.25" customHeight="1">
      <c r="A203" s="38">
        <v>39.587824</v>
      </c>
      <c r="B203" s="38">
        <v>-112.673008</v>
      </c>
      <c r="C203" s="39" t="s">
        <v>246</v>
      </c>
      <c r="D203" s="36"/>
    </row>
    <row r="204" ht="14.25" customHeight="1">
      <c r="A204" s="38">
        <v>39.605144</v>
      </c>
      <c r="B204" s="38">
        <v>-112.770338</v>
      </c>
      <c r="C204" s="39" t="s">
        <v>247</v>
      </c>
      <c r="D204" s="36"/>
    </row>
    <row r="205" ht="14.25" customHeight="1">
      <c r="A205" s="38">
        <v>39.605504</v>
      </c>
      <c r="B205" s="38">
        <v>-112.746098</v>
      </c>
      <c r="C205" s="39" t="s">
        <v>248</v>
      </c>
      <c r="D205" s="36"/>
    </row>
    <row r="206" ht="14.25" customHeight="1">
      <c r="A206" s="38">
        <v>39.606564</v>
      </c>
      <c r="B206" s="38">
        <v>-112.673508</v>
      </c>
      <c r="C206" s="39" t="s">
        <v>249</v>
      </c>
      <c r="D206" s="36"/>
    </row>
    <row r="207" ht="14.25" customHeight="1">
      <c r="A207" s="38">
        <v>39.624254</v>
      </c>
      <c r="B207" s="38">
        <v>-112.746568</v>
      </c>
      <c r="C207" s="39" t="s">
        <v>250</v>
      </c>
      <c r="D207" s="36"/>
    </row>
    <row r="208" ht="14.25" customHeight="1">
      <c r="A208" s="38">
        <v>39.624594</v>
      </c>
      <c r="B208" s="38">
        <v>-112.722398</v>
      </c>
      <c r="C208" s="39" t="s">
        <v>251</v>
      </c>
      <c r="D208" s="36"/>
    </row>
    <row r="209" ht="14.25" customHeight="1">
      <c r="A209" s="38">
        <v>39.6248</v>
      </c>
      <c r="B209" s="38">
        <v>-112.6982</v>
      </c>
      <c r="C209" s="39" t="s">
        <v>252</v>
      </c>
      <c r="D209" s="36"/>
    </row>
    <row r="210" ht="14.25" customHeight="1">
      <c r="A210" s="38">
        <v>39.625274</v>
      </c>
      <c r="B210" s="38">
        <v>-112.673928</v>
      </c>
      <c r="C210" s="39" t="s">
        <v>253</v>
      </c>
      <c r="D210" s="36"/>
    </row>
    <row r="211" ht="14.25" customHeight="1">
      <c r="A211" s="38">
        <v>39.642084</v>
      </c>
      <c r="B211" s="38">
        <v>-112.746278</v>
      </c>
      <c r="C211" s="39" t="s">
        <v>254</v>
      </c>
      <c r="D211" s="36"/>
    </row>
    <row r="212" ht="14.25" customHeight="1">
      <c r="A212" s="38">
        <v>39.644094</v>
      </c>
      <c r="B212" s="38">
        <v>-112.722728</v>
      </c>
      <c r="C212" s="39" t="s">
        <v>255</v>
      </c>
      <c r="D212" s="36"/>
    </row>
    <row r="213" ht="14.25" customHeight="1">
      <c r="A213" s="38">
        <v>39.644014</v>
      </c>
      <c r="B213" s="38">
        <v>-112.698678</v>
      </c>
      <c r="C213" s="39" t="s">
        <v>256</v>
      </c>
      <c r="D213" s="36"/>
    </row>
    <row r="214" ht="14.25" customHeight="1">
      <c r="A214" s="38">
        <v>39.661454</v>
      </c>
      <c r="B214" s="38">
        <v>-112.747278</v>
      </c>
      <c r="C214" s="39" t="s">
        <v>257</v>
      </c>
      <c r="D214" s="36"/>
    </row>
    <row r="215" ht="14.25" customHeight="1">
      <c r="A215" s="38">
        <v>39.662054</v>
      </c>
      <c r="B215" s="38">
        <v>-112.723318</v>
      </c>
      <c r="C215" s="39" t="s">
        <v>258</v>
      </c>
      <c r="D215" s="36"/>
    </row>
    <row r="216" ht="14.25" customHeight="1">
      <c r="A216" s="38">
        <v>39.662414</v>
      </c>
      <c r="B216" s="38">
        <v>-112.699078</v>
      </c>
      <c r="C216" s="39" t="s">
        <v>259</v>
      </c>
      <c r="D216" s="36"/>
    </row>
    <row r="217" ht="14.25" customHeight="1">
      <c r="A217" s="38">
        <v>39.680544</v>
      </c>
      <c r="B217" s="38">
        <v>-112.748008</v>
      </c>
      <c r="C217" s="39" t="s">
        <v>260</v>
      </c>
      <c r="D217" s="36"/>
    </row>
    <row r="218" ht="14.25" customHeight="1">
      <c r="A218" s="38">
        <v>39.680794</v>
      </c>
      <c r="B218" s="38">
        <v>-112.723818</v>
      </c>
      <c r="C218" s="39" t="s">
        <v>261</v>
      </c>
      <c r="D218" s="36"/>
    </row>
    <row r="219" ht="14.25" customHeight="1">
      <c r="A219" s="38">
        <v>39.699164</v>
      </c>
      <c r="B219" s="38">
        <v>-112.748588</v>
      </c>
      <c r="C219" s="39" t="s">
        <v>262</v>
      </c>
      <c r="D219" s="36"/>
    </row>
    <row r="220" ht="14.25" customHeight="1">
      <c r="A220" s="38">
        <v>39.472874</v>
      </c>
      <c r="B220" s="38">
        <v>-112.839588</v>
      </c>
      <c r="C220" s="39" t="s">
        <v>263</v>
      </c>
      <c r="D220" s="36"/>
    </row>
    <row r="221" ht="14.25" customHeight="1">
      <c r="A221" s="38">
        <v>39.473244</v>
      </c>
      <c r="B221" s="38">
        <v>-112.815398</v>
      </c>
      <c r="C221" s="39" t="s">
        <v>264</v>
      </c>
      <c r="D221" s="36"/>
    </row>
    <row r="222" ht="14.25" customHeight="1">
      <c r="A222" s="38">
        <v>39.473564</v>
      </c>
      <c r="B222" s="38">
        <v>-112.790908</v>
      </c>
      <c r="C222" s="39" t="s">
        <v>265</v>
      </c>
      <c r="D222" s="36"/>
    </row>
    <row r="223" ht="14.25" customHeight="1">
      <c r="A223" s="38">
        <v>39.491234</v>
      </c>
      <c r="B223" s="38">
        <v>-112.864198</v>
      </c>
      <c r="C223" s="39" t="s">
        <v>266</v>
      </c>
      <c r="D223" s="36"/>
    </row>
    <row r="224" ht="14.25" customHeight="1">
      <c r="A224" s="38">
        <v>39.491614</v>
      </c>
      <c r="B224" s="38">
        <v>-112.840048</v>
      </c>
      <c r="C224" s="39" t="s">
        <v>267</v>
      </c>
      <c r="D224" s="36"/>
    </row>
    <row r="225" ht="14.25" customHeight="1">
      <c r="A225" s="38">
        <v>39.491984</v>
      </c>
      <c r="B225" s="38">
        <v>-112.815868</v>
      </c>
      <c r="C225" s="39" t="s">
        <v>268</v>
      </c>
      <c r="D225" s="36"/>
    </row>
    <row r="226" ht="14.25" customHeight="1">
      <c r="A226" s="38">
        <v>39.492334</v>
      </c>
      <c r="B226" s="38">
        <v>-112.791718</v>
      </c>
      <c r="C226" s="39" t="s">
        <v>269</v>
      </c>
      <c r="D226" s="36"/>
    </row>
    <row r="227" ht="14.25" customHeight="1">
      <c r="A227" s="38">
        <v>39.492694</v>
      </c>
      <c r="B227" s="38">
        <v>-112.767508</v>
      </c>
      <c r="C227" s="39" t="s">
        <v>270</v>
      </c>
      <c r="D227" s="36"/>
    </row>
    <row r="228" ht="14.25" customHeight="1">
      <c r="A228" s="38">
        <v>39.493334</v>
      </c>
      <c r="B228" s="38">
        <v>-112.743498</v>
      </c>
      <c r="C228" s="39" t="s">
        <v>271</v>
      </c>
      <c r="D228" s="36"/>
    </row>
    <row r="229" ht="14.25" customHeight="1">
      <c r="A229" s="38">
        <v>39.509574</v>
      </c>
      <c r="B229" s="38">
        <v>-112.888878</v>
      </c>
      <c r="C229" s="39" t="s">
        <v>272</v>
      </c>
      <c r="D229" s="36"/>
    </row>
    <row r="230" ht="14.25" customHeight="1">
      <c r="A230" s="38">
        <v>39.50996</v>
      </c>
      <c r="B230" s="38">
        <v>-112.86473</v>
      </c>
      <c r="C230" s="39" t="s">
        <v>273</v>
      </c>
      <c r="D230" s="36"/>
    </row>
    <row r="231" ht="14.25" customHeight="1">
      <c r="A231" s="38">
        <v>39.510364</v>
      </c>
      <c r="B231" s="38">
        <v>-112.840538</v>
      </c>
      <c r="C231" s="39" t="s">
        <v>274</v>
      </c>
      <c r="D231" s="36"/>
    </row>
    <row r="232" ht="14.25" customHeight="1">
      <c r="A232" s="38">
        <v>39.510724</v>
      </c>
      <c r="B232" s="38">
        <v>-112.816338</v>
      </c>
      <c r="C232" s="39" t="s">
        <v>275</v>
      </c>
      <c r="D232" s="36"/>
    </row>
    <row r="233" ht="14.25" customHeight="1">
      <c r="A233" s="38">
        <v>39.511034</v>
      </c>
      <c r="B233" s="38">
        <v>-112.792168</v>
      </c>
      <c r="C233" s="39" t="s">
        <v>276</v>
      </c>
      <c r="D233" s="36"/>
    </row>
    <row r="234" ht="14.25" customHeight="1">
      <c r="A234" s="38">
        <v>39.511484</v>
      </c>
      <c r="B234" s="38">
        <v>-112.768048</v>
      </c>
      <c r="C234" s="39" t="s">
        <v>277</v>
      </c>
      <c r="D234" s="36"/>
    </row>
    <row r="235" ht="14.25" customHeight="1">
      <c r="A235" s="38">
        <v>39.51189</v>
      </c>
      <c r="B235" s="38">
        <v>-112.74329</v>
      </c>
      <c r="C235" s="39" t="s">
        <v>278</v>
      </c>
      <c r="D235" s="36"/>
    </row>
    <row r="236" ht="14.25" customHeight="1">
      <c r="A236" s="38">
        <v>39.513674</v>
      </c>
      <c r="B236" s="38">
        <v>-112.719658</v>
      </c>
      <c r="C236" s="39" t="s">
        <v>279</v>
      </c>
      <c r="D236" s="36"/>
    </row>
    <row r="237" ht="14.25" customHeight="1">
      <c r="A237" s="38">
        <v>39.527004</v>
      </c>
      <c r="B237" s="38">
        <v>-112.913428</v>
      </c>
      <c r="C237" s="39" t="s">
        <v>280</v>
      </c>
      <c r="D237" s="36"/>
    </row>
    <row r="238" ht="14.25" customHeight="1">
      <c r="A238" s="38">
        <v>39.528314</v>
      </c>
      <c r="B238" s="38">
        <v>-112.889408</v>
      </c>
      <c r="C238" s="39" t="s">
        <v>281</v>
      </c>
      <c r="D238" s="36"/>
    </row>
    <row r="239" ht="14.25" customHeight="1">
      <c r="A239" s="38">
        <v>39.528664</v>
      </c>
      <c r="B239" s="38">
        <v>-112.865208</v>
      </c>
      <c r="C239" s="39" t="s">
        <v>282</v>
      </c>
      <c r="D239" s="36"/>
    </row>
    <row r="240" ht="14.25" customHeight="1">
      <c r="A240" s="38">
        <v>39.529064</v>
      </c>
      <c r="B240" s="38">
        <v>-112.841008</v>
      </c>
      <c r="C240" s="39" t="s">
        <v>283</v>
      </c>
      <c r="D240" s="36"/>
    </row>
    <row r="241" ht="14.25" customHeight="1">
      <c r="A241" s="38">
        <v>39.529474</v>
      </c>
      <c r="B241" s="38">
        <v>-112.816828</v>
      </c>
      <c r="C241" s="39" t="s">
        <v>284</v>
      </c>
      <c r="D241" s="36"/>
    </row>
    <row r="242" ht="14.25" customHeight="1">
      <c r="A242" s="38">
        <v>39.529844</v>
      </c>
      <c r="B242" s="38">
        <v>-112.792568</v>
      </c>
      <c r="C242" s="39" t="s">
        <v>285</v>
      </c>
      <c r="D242" s="36"/>
    </row>
    <row r="243" ht="14.25" customHeight="1">
      <c r="A243" s="38">
        <v>39.53021</v>
      </c>
      <c r="B243" s="38">
        <v>-112.76846</v>
      </c>
      <c r="C243" s="39" t="s">
        <v>286</v>
      </c>
      <c r="D243" s="36"/>
    </row>
    <row r="244" ht="14.25" customHeight="1">
      <c r="A244" s="38">
        <v>39.530594</v>
      </c>
      <c r="B244" s="38">
        <v>-112.744238</v>
      </c>
      <c r="C244" s="39" t="s">
        <v>287</v>
      </c>
      <c r="D244" s="36"/>
    </row>
    <row r="245" ht="14.25" customHeight="1">
      <c r="A245" s="38">
        <v>39.530854</v>
      </c>
      <c r="B245" s="38">
        <v>-112.720028</v>
      </c>
      <c r="C245" s="39" t="s">
        <v>288</v>
      </c>
      <c r="D245" s="36"/>
    </row>
    <row r="246" ht="14.25" customHeight="1">
      <c r="A246" s="38">
        <v>39.531344</v>
      </c>
      <c r="B246" s="38">
        <v>-112.698248</v>
      </c>
      <c r="C246" s="39" t="s">
        <v>289</v>
      </c>
      <c r="D246" s="36"/>
    </row>
    <row r="247" ht="14.25" customHeight="1">
      <c r="A247" s="38">
        <v>39.546294</v>
      </c>
      <c r="B247" s="38">
        <v>-112.938178</v>
      </c>
      <c r="C247" s="39" t="s">
        <v>290</v>
      </c>
      <c r="D247" s="36"/>
    </row>
    <row r="248" ht="14.25" customHeight="1">
      <c r="A248" s="38">
        <v>39.546564</v>
      </c>
      <c r="B248" s="38">
        <v>-112.914098</v>
      </c>
      <c r="C248" s="39" t="s">
        <v>291</v>
      </c>
      <c r="D248" s="36"/>
    </row>
    <row r="249" ht="14.25" customHeight="1">
      <c r="A249" s="38">
        <v>39.547004</v>
      </c>
      <c r="B249" s="38">
        <v>-112.889918</v>
      </c>
      <c r="C249" s="39" t="s">
        <v>292</v>
      </c>
      <c r="D249" s="36"/>
    </row>
    <row r="250" ht="14.25" customHeight="1">
      <c r="A250" s="38">
        <v>39.547424</v>
      </c>
      <c r="B250" s="38">
        <v>-112.865738</v>
      </c>
      <c r="C250" s="39" t="s">
        <v>293</v>
      </c>
      <c r="D250" s="36"/>
    </row>
    <row r="251" ht="14.25" customHeight="1">
      <c r="A251" s="38">
        <v>39.547814</v>
      </c>
      <c r="B251" s="38">
        <v>-112.841478</v>
      </c>
      <c r="C251" s="39" t="s">
        <v>294</v>
      </c>
      <c r="D251" s="36"/>
    </row>
    <row r="252" ht="14.25" customHeight="1">
      <c r="A252" s="38">
        <v>39.548164</v>
      </c>
      <c r="B252" s="38">
        <v>-112.817308</v>
      </c>
      <c r="C252" s="39" t="s">
        <v>295</v>
      </c>
      <c r="D252" s="36"/>
    </row>
    <row r="253" ht="14.25" customHeight="1">
      <c r="A253" s="38">
        <v>39.548574</v>
      </c>
      <c r="B253" s="38">
        <v>-112.793168</v>
      </c>
      <c r="C253" s="39" t="s">
        <v>296</v>
      </c>
      <c r="D253" s="36"/>
    </row>
    <row r="254" ht="14.25" customHeight="1">
      <c r="A254" s="38">
        <v>39.548804</v>
      </c>
      <c r="B254" s="38">
        <v>-112.768998</v>
      </c>
      <c r="C254" s="39" t="s">
        <v>297</v>
      </c>
      <c r="D254" s="36"/>
    </row>
    <row r="255" ht="14.25" customHeight="1">
      <c r="A255" s="38">
        <v>39.549384</v>
      </c>
      <c r="B255" s="38">
        <v>-112.744778</v>
      </c>
      <c r="C255" s="39" t="s">
        <v>298</v>
      </c>
      <c r="D255" s="36"/>
    </row>
    <row r="256" ht="14.25" customHeight="1">
      <c r="A256" s="38">
        <v>39.549744</v>
      </c>
      <c r="B256" s="38">
        <v>-112.720548</v>
      </c>
      <c r="C256" s="39" t="s">
        <v>299</v>
      </c>
      <c r="D256" s="36"/>
    </row>
    <row r="257" ht="14.25" customHeight="1">
      <c r="A257" s="38">
        <v>39.549974</v>
      </c>
      <c r="B257" s="38">
        <v>-112.696638</v>
      </c>
      <c r="C257" s="39" t="s">
        <v>300</v>
      </c>
      <c r="D257" s="36"/>
    </row>
    <row r="258" ht="14.25" customHeight="1">
      <c r="A258" s="38">
        <v>39.567144</v>
      </c>
      <c r="B258" s="38">
        <v>-112.932448</v>
      </c>
      <c r="C258" s="39" t="s">
        <v>38</v>
      </c>
      <c r="D258" s="36"/>
    </row>
    <row r="259" ht="14.25" customHeight="1">
      <c r="A259" s="38">
        <v>39.565374</v>
      </c>
      <c r="B259" s="38">
        <v>-112.914668</v>
      </c>
      <c r="C259" s="39" t="s">
        <v>301</v>
      </c>
      <c r="D259" s="36"/>
    </row>
    <row r="260" ht="14.25" customHeight="1">
      <c r="A260" s="38">
        <v>39.565714</v>
      </c>
      <c r="B260" s="38">
        <v>-112.890408</v>
      </c>
      <c r="C260" s="39" t="s">
        <v>302</v>
      </c>
      <c r="D260" s="36"/>
    </row>
    <row r="261" ht="14.25" customHeight="1">
      <c r="A261" s="38">
        <v>39.566104</v>
      </c>
      <c r="B261" s="38">
        <v>-112.866188</v>
      </c>
      <c r="C261" s="39" t="s">
        <v>303</v>
      </c>
      <c r="D261" s="36"/>
    </row>
    <row r="262" ht="14.25" customHeight="1">
      <c r="A262" s="38">
        <v>39.566594</v>
      </c>
      <c r="B262" s="38">
        <v>-112.842078</v>
      </c>
      <c r="C262" s="39" t="s">
        <v>304</v>
      </c>
      <c r="D262" s="36"/>
    </row>
    <row r="263" ht="14.25" customHeight="1">
      <c r="A263" s="38">
        <v>39.56738</v>
      </c>
      <c r="B263" s="38">
        <v>-112.81777</v>
      </c>
      <c r="C263" s="39" t="s">
        <v>305</v>
      </c>
      <c r="D263" s="36"/>
    </row>
    <row r="264" ht="14.25" customHeight="1">
      <c r="A264" s="38">
        <v>39.567304</v>
      </c>
      <c r="B264" s="38">
        <v>-112.793608</v>
      </c>
      <c r="C264" s="39" t="s">
        <v>306</v>
      </c>
      <c r="D264" s="36"/>
    </row>
    <row r="265" ht="14.25" customHeight="1">
      <c r="A265" s="38">
        <v>39.567654</v>
      </c>
      <c r="B265" s="38">
        <v>-112.769408</v>
      </c>
      <c r="C265" s="39" t="s">
        <v>41</v>
      </c>
      <c r="D265" s="36"/>
    </row>
    <row r="266" ht="14.25" customHeight="1">
      <c r="A266" s="38">
        <v>39.568034</v>
      </c>
      <c r="B266" s="38">
        <v>-112.745148</v>
      </c>
      <c r="C266" s="39" t="s">
        <v>307</v>
      </c>
      <c r="D266" s="36"/>
    </row>
    <row r="267" ht="14.25" customHeight="1">
      <c r="A267" s="38">
        <v>39.568394</v>
      </c>
      <c r="B267" s="38">
        <v>-112.720958</v>
      </c>
      <c r="C267" s="39" t="s">
        <v>308</v>
      </c>
      <c r="D267" s="36"/>
    </row>
    <row r="268" ht="14.25" customHeight="1">
      <c r="A268" s="38">
        <v>39.566334</v>
      </c>
      <c r="B268" s="38">
        <v>-112.696748</v>
      </c>
      <c r="C268" s="39" t="s">
        <v>309</v>
      </c>
      <c r="D268" s="36"/>
    </row>
    <row r="269" ht="14.25" customHeight="1">
      <c r="A269" s="38">
        <v>39.583654</v>
      </c>
      <c r="B269" s="38">
        <v>-112.939428</v>
      </c>
      <c r="C269" s="39" t="s">
        <v>310</v>
      </c>
      <c r="D269" s="36"/>
    </row>
    <row r="270" ht="14.25" customHeight="1">
      <c r="A270" s="38">
        <v>39.584034</v>
      </c>
      <c r="B270" s="38">
        <v>-112.915108</v>
      </c>
      <c r="C270" s="39" t="s">
        <v>311</v>
      </c>
      <c r="D270" s="36"/>
    </row>
    <row r="271" ht="14.25" customHeight="1">
      <c r="A271" s="38">
        <v>39.584484</v>
      </c>
      <c r="B271" s="38">
        <v>-112.890968</v>
      </c>
      <c r="C271" s="39" t="s">
        <v>312</v>
      </c>
      <c r="D271" s="36"/>
    </row>
    <row r="272" ht="14.25" customHeight="1">
      <c r="A272" s="38">
        <v>39.584804</v>
      </c>
      <c r="B272" s="38">
        <v>-112.866748</v>
      </c>
      <c r="C272" s="39" t="s">
        <v>313</v>
      </c>
      <c r="D272" s="36"/>
    </row>
    <row r="273" ht="14.25" customHeight="1">
      <c r="A273" s="38">
        <v>39.58535</v>
      </c>
      <c r="B273" s="38">
        <v>-112.84291</v>
      </c>
      <c r="C273" s="39" t="s">
        <v>314</v>
      </c>
      <c r="D273" s="36"/>
    </row>
    <row r="274" ht="14.25" customHeight="1">
      <c r="A274" s="38">
        <v>39.585644</v>
      </c>
      <c r="B274" s="38">
        <v>-112.818318</v>
      </c>
      <c r="C274" s="39" t="s">
        <v>315</v>
      </c>
      <c r="D274" s="36"/>
    </row>
    <row r="275" ht="14.25" customHeight="1">
      <c r="A275" s="38">
        <v>39.585684</v>
      </c>
      <c r="B275" s="38">
        <v>-112.793738</v>
      </c>
      <c r="C275" s="39" t="s">
        <v>316</v>
      </c>
      <c r="D275" s="36"/>
    </row>
    <row r="276" ht="14.25" customHeight="1">
      <c r="A276" s="38">
        <v>39.586384</v>
      </c>
      <c r="B276" s="38">
        <v>-112.769848</v>
      </c>
      <c r="C276" s="39" t="s">
        <v>317</v>
      </c>
      <c r="D276" s="36"/>
    </row>
    <row r="277" ht="14.25" customHeight="1">
      <c r="A277" s="38">
        <v>39.586764</v>
      </c>
      <c r="B277" s="38">
        <v>-112.743818</v>
      </c>
      <c r="C277" s="39" t="s">
        <v>318</v>
      </c>
      <c r="D277" s="36"/>
    </row>
    <row r="278" ht="14.25" customHeight="1">
      <c r="A278" s="38">
        <v>39.587074</v>
      </c>
      <c r="B278" s="38">
        <v>-112.721418</v>
      </c>
      <c r="C278" s="39" t="s">
        <v>319</v>
      </c>
      <c r="D278" s="36"/>
    </row>
    <row r="279" ht="14.25" customHeight="1">
      <c r="A279" s="38">
        <v>39.586504</v>
      </c>
      <c r="B279" s="38">
        <v>-112.702468</v>
      </c>
      <c r="C279" s="39" t="s">
        <v>320</v>
      </c>
      <c r="D279" s="36"/>
    </row>
    <row r="280" ht="14.25" customHeight="1">
      <c r="A280" s="38">
        <v>39.602404</v>
      </c>
      <c r="B280" s="38">
        <v>-112.939868</v>
      </c>
      <c r="C280" s="39" t="s">
        <v>321</v>
      </c>
      <c r="D280" s="36"/>
    </row>
    <row r="281" ht="14.25" customHeight="1">
      <c r="A281" s="38">
        <v>39.602834</v>
      </c>
      <c r="B281" s="38">
        <v>-112.915618</v>
      </c>
      <c r="C281" s="39" t="s">
        <v>322</v>
      </c>
      <c r="D281" s="36"/>
    </row>
    <row r="282" ht="14.25" customHeight="1">
      <c r="A282" s="38">
        <v>39.603204</v>
      </c>
      <c r="B282" s="38">
        <v>-112.891418</v>
      </c>
      <c r="C282" s="39" t="s">
        <v>323</v>
      </c>
      <c r="D282" s="36"/>
    </row>
    <row r="283" ht="14.25" customHeight="1">
      <c r="A283" s="38">
        <v>39.603554</v>
      </c>
      <c r="B283" s="38">
        <v>-112.867228</v>
      </c>
      <c r="C283" s="39" t="s">
        <v>324</v>
      </c>
      <c r="D283" s="36"/>
    </row>
    <row r="284" ht="14.25" customHeight="1">
      <c r="A284" s="38">
        <v>39.603564</v>
      </c>
      <c r="B284" s="38">
        <v>-112.843878</v>
      </c>
      <c r="C284" s="39" t="s">
        <v>325</v>
      </c>
      <c r="D284" s="36"/>
    </row>
    <row r="285" ht="14.25" customHeight="1">
      <c r="A285" s="38">
        <v>39.604384</v>
      </c>
      <c r="B285" s="38">
        <v>-112.818788</v>
      </c>
      <c r="C285" s="39" t="s">
        <v>326</v>
      </c>
      <c r="D285" s="36"/>
    </row>
    <row r="286" ht="14.25" customHeight="1">
      <c r="A286" s="38">
        <v>39.60489</v>
      </c>
      <c r="B286" s="38">
        <v>-112.79529</v>
      </c>
      <c r="C286" s="39" t="s">
        <v>327</v>
      </c>
      <c r="D286" s="36"/>
    </row>
    <row r="287" ht="14.25" customHeight="1">
      <c r="A287" s="38">
        <v>39.602054</v>
      </c>
      <c r="B287" s="38">
        <v>-112.717228</v>
      </c>
      <c r="C287" s="39" t="s">
        <v>328</v>
      </c>
      <c r="D287" s="36"/>
    </row>
    <row r="288" ht="14.25" customHeight="1">
      <c r="A288" s="38">
        <v>39.607784</v>
      </c>
      <c r="B288" s="38">
        <v>-112.697778</v>
      </c>
      <c r="C288" s="39" t="s">
        <v>329</v>
      </c>
      <c r="D288" s="36"/>
    </row>
    <row r="289" ht="14.25" customHeight="1">
      <c r="A289" s="38">
        <v>39.061074</v>
      </c>
      <c r="B289" s="38">
        <v>-112.804758</v>
      </c>
      <c r="C289" s="39" t="s">
        <v>330</v>
      </c>
      <c r="D289" s="36"/>
    </row>
    <row r="290" ht="14.25" customHeight="1">
      <c r="A290" s="38">
        <v>39.061514</v>
      </c>
      <c r="B290" s="38">
        <v>-112.780538</v>
      </c>
      <c r="C290" s="39" t="s">
        <v>331</v>
      </c>
      <c r="D290" s="36"/>
    </row>
    <row r="291" ht="14.25" customHeight="1">
      <c r="A291" s="38">
        <v>39.061834</v>
      </c>
      <c r="B291" s="38">
        <v>-112.756638</v>
      </c>
      <c r="C291" s="39" t="s">
        <v>332</v>
      </c>
      <c r="D291" s="36"/>
    </row>
    <row r="292" ht="14.25" customHeight="1">
      <c r="A292" s="38">
        <v>39.062224</v>
      </c>
      <c r="B292" s="38">
        <v>-112.732698</v>
      </c>
      <c r="C292" s="39" t="s">
        <v>333</v>
      </c>
      <c r="D292" s="36"/>
    </row>
    <row r="293" ht="14.25" customHeight="1">
      <c r="A293" s="38">
        <v>39.062574</v>
      </c>
      <c r="B293" s="38">
        <v>-112.708688</v>
      </c>
      <c r="C293" s="39" t="s">
        <v>334</v>
      </c>
      <c r="D293" s="36"/>
    </row>
    <row r="294" ht="14.25" customHeight="1">
      <c r="A294" s="38">
        <v>39.062693</v>
      </c>
      <c r="B294" s="38">
        <v>-112.68355</v>
      </c>
      <c r="C294" s="39" t="s">
        <v>335</v>
      </c>
      <c r="D294" s="36"/>
    </row>
    <row r="295" ht="14.25" customHeight="1">
      <c r="A295" s="38">
        <v>39.063274</v>
      </c>
      <c r="B295" s="38">
        <v>-112.660638</v>
      </c>
      <c r="C295" s="39" t="s">
        <v>336</v>
      </c>
      <c r="D295" s="36"/>
    </row>
    <row r="296" ht="14.25" customHeight="1">
      <c r="A296" s="38">
        <v>39.063604</v>
      </c>
      <c r="B296" s="38">
        <v>-112.636558</v>
      </c>
      <c r="C296" s="39" t="s">
        <v>337</v>
      </c>
      <c r="D296" s="36"/>
    </row>
    <row r="297" ht="14.25" customHeight="1">
      <c r="A297" s="38">
        <v>39.064514</v>
      </c>
      <c r="B297" s="38">
        <v>-112.613448</v>
      </c>
      <c r="C297" s="39" t="s">
        <v>338</v>
      </c>
      <c r="D297" s="36"/>
    </row>
    <row r="298" ht="14.25" customHeight="1">
      <c r="A298" s="38">
        <v>39.063904</v>
      </c>
      <c r="B298" s="38">
        <v>-112.588198</v>
      </c>
      <c r="C298" s="39" t="s">
        <v>339</v>
      </c>
      <c r="D298" s="36"/>
    </row>
    <row r="299" ht="14.25" customHeight="1">
      <c r="A299" s="38">
        <v>39.064684</v>
      </c>
      <c r="B299" s="38">
        <v>-112.564448</v>
      </c>
      <c r="C299" s="39" t="s">
        <v>340</v>
      </c>
      <c r="D299" s="36"/>
    </row>
    <row r="300" ht="14.25" customHeight="1">
      <c r="A300" s="38">
        <v>39.064914</v>
      </c>
      <c r="B300" s="38">
        <v>-112.540378</v>
      </c>
      <c r="C300" s="39" t="s">
        <v>341</v>
      </c>
      <c r="D300" s="36"/>
    </row>
    <row r="301" ht="14.25" customHeight="1">
      <c r="A301" s="38">
        <v>39.079904</v>
      </c>
      <c r="B301" s="38">
        <v>-112.805268</v>
      </c>
      <c r="C301" s="39" t="s">
        <v>342</v>
      </c>
      <c r="D301" s="36"/>
    </row>
    <row r="302" ht="14.25" customHeight="1">
      <c r="A302" s="38">
        <v>39.080224</v>
      </c>
      <c r="B302" s="38">
        <v>-112.781208</v>
      </c>
      <c r="C302" s="39" t="s">
        <v>343</v>
      </c>
      <c r="D302" s="36"/>
    </row>
    <row r="303" ht="14.25" customHeight="1">
      <c r="A303" s="38">
        <v>39.080714</v>
      </c>
      <c r="B303" s="38">
        <v>-112.758278</v>
      </c>
      <c r="C303" s="39" t="s">
        <v>344</v>
      </c>
      <c r="D303" s="36"/>
    </row>
    <row r="304" ht="14.25" customHeight="1">
      <c r="A304" s="38">
        <v>39.080894</v>
      </c>
      <c r="B304" s="38">
        <v>-112.733178</v>
      </c>
      <c r="C304" s="39" t="s">
        <v>345</v>
      </c>
      <c r="D304" s="36"/>
    </row>
    <row r="305" ht="14.25" customHeight="1">
      <c r="A305" s="38">
        <v>39.081284</v>
      </c>
      <c r="B305" s="38">
        <v>-112.709118</v>
      </c>
      <c r="C305" s="39" t="s">
        <v>346</v>
      </c>
      <c r="D305" s="36"/>
    </row>
    <row r="306" ht="14.25" customHeight="1">
      <c r="A306" s="38">
        <v>39.081574</v>
      </c>
      <c r="B306" s="38">
        <v>-112.685128</v>
      </c>
      <c r="C306" s="39" t="s">
        <v>347</v>
      </c>
      <c r="D306" s="36"/>
    </row>
    <row r="307" ht="14.25" customHeight="1">
      <c r="A307" s="38">
        <v>39.082694</v>
      </c>
      <c r="B307" s="38">
        <v>-112.661668</v>
      </c>
      <c r="C307" s="39" t="s">
        <v>348</v>
      </c>
      <c r="D307" s="36"/>
    </row>
    <row r="308" ht="14.25" customHeight="1">
      <c r="A308" s="38">
        <v>39.082344</v>
      </c>
      <c r="B308" s="38">
        <v>-112.636998</v>
      </c>
      <c r="C308" s="39" t="s">
        <v>349</v>
      </c>
      <c r="D308" s="36"/>
    </row>
    <row r="309" ht="14.25" customHeight="1">
      <c r="A309" s="38">
        <v>39.082704</v>
      </c>
      <c r="B309" s="38">
        <v>-112.610668</v>
      </c>
      <c r="C309" s="39" t="s">
        <v>350</v>
      </c>
      <c r="D309" s="36"/>
    </row>
    <row r="310" ht="14.25" customHeight="1">
      <c r="A310" s="38">
        <v>39.082744</v>
      </c>
      <c r="B310" s="38">
        <v>-112.589188</v>
      </c>
      <c r="C310" s="39" t="s">
        <v>351</v>
      </c>
      <c r="D310" s="36"/>
    </row>
    <row r="311" ht="14.25" customHeight="1">
      <c r="A311" s="38">
        <v>39.083274</v>
      </c>
      <c r="B311" s="38">
        <v>-112.564848</v>
      </c>
      <c r="C311" s="39" t="s">
        <v>352</v>
      </c>
      <c r="D311" s="36"/>
    </row>
    <row r="312" ht="14.25" customHeight="1">
      <c r="A312" s="38">
        <v>39.083784</v>
      </c>
      <c r="B312" s="38">
        <v>-112.540388</v>
      </c>
      <c r="C312" s="39" t="s">
        <v>353</v>
      </c>
      <c r="D312" s="36"/>
    </row>
    <row r="313" ht="14.25" customHeight="1">
      <c r="A313" s="38">
        <v>39.098974</v>
      </c>
      <c r="B313" s="38">
        <v>-112.781628</v>
      </c>
      <c r="C313" s="39" t="s">
        <v>354</v>
      </c>
      <c r="D313" s="36"/>
    </row>
    <row r="314" ht="14.25" customHeight="1">
      <c r="A314" s="38">
        <v>39.099391</v>
      </c>
      <c r="B314" s="38">
        <v>-112.754095</v>
      </c>
      <c r="C314" s="39" t="s">
        <v>355</v>
      </c>
      <c r="D314" s="36"/>
    </row>
    <row r="315" ht="14.25" customHeight="1">
      <c r="A315" s="38">
        <v>39.099714</v>
      </c>
      <c r="B315" s="38">
        <v>-112.733548</v>
      </c>
      <c r="C315" s="39" t="s">
        <v>356</v>
      </c>
      <c r="D315" s="36"/>
    </row>
    <row r="316" ht="14.25" customHeight="1">
      <c r="A316" s="38">
        <v>39.100144</v>
      </c>
      <c r="B316" s="38">
        <v>-112.709468</v>
      </c>
      <c r="C316" s="39" t="s">
        <v>53</v>
      </c>
      <c r="D316" s="36"/>
    </row>
    <row r="317" ht="14.25" customHeight="1">
      <c r="A317" s="38">
        <v>39.100414</v>
      </c>
      <c r="B317" s="38">
        <v>-112.685528</v>
      </c>
      <c r="C317" s="39" t="s">
        <v>357</v>
      </c>
      <c r="D317" s="36"/>
    </row>
    <row r="318" ht="14.25" customHeight="1">
      <c r="A318" s="38">
        <v>39.100285</v>
      </c>
      <c r="B318" s="38">
        <v>-112.661509</v>
      </c>
      <c r="C318" s="39" t="s">
        <v>358</v>
      </c>
      <c r="D318" s="36"/>
    </row>
    <row r="319" ht="14.25" customHeight="1">
      <c r="A319" s="38">
        <v>39.101064</v>
      </c>
      <c r="B319" s="38">
        <v>-112.637178</v>
      </c>
      <c r="C319" s="39" t="s">
        <v>359</v>
      </c>
      <c r="D319" s="36"/>
    </row>
    <row r="320" ht="14.25" customHeight="1">
      <c r="A320" s="38">
        <v>39.103584</v>
      </c>
      <c r="B320" s="38">
        <v>-112.610798</v>
      </c>
      <c r="C320" s="39" t="s">
        <v>360</v>
      </c>
      <c r="D320" s="36"/>
    </row>
    <row r="321" ht="14.25" customHeight="1">
      <c r="A321" s="38">
        <v>39.101904</v>
      </c>
      <c r="B321" s="38">
        <v>-112.589668</v>
      </c>
      <c r="C321" s="39" t="s">
        <v>361</v>
      </c>
      <c r="D321" s="36"/>
    </row>
    <row r="322" ht="14.25" customHeight="1">
      <c r="A322" s="38">
        <v>39.101924</v>
      </c>
      <c r="B322" s="38">
        <v>-112.565588</v>
      </c>
      <c r="C322" s="39" t="s">
        <v>362</v>
      </c>
      <c r="D322" s="36"/>
    </row>
    <row r="323" ht="14.25" customHeight="1">
      <c r="A323" s="38">
        <v>39.118044</v>
      </c>
      <c r="B323" s="38">
        <v>-112.758158</v>
      </c>
      <c r="C323" s="39" t="s">
        <v>363</v>
      </c>
      <c r="D323" s="36"/>
    </row>
    <row r="324" ht="14.25" customHeight="1">
      <c r="A324" s="38">
        <v>39.118404</v>
      </c>
      <c r="B324" s="38">
        <v>-112.733988</v>
      </c>
      <c r="C324" s="39" t="s">
        <v>364</v>
      </c>
      <c r="D324" s="36"/>
    </row>
    <row r="325" ht="14.25" customHeight="1">
      <c r="A325" s="38">
        <v>39.118784</v>
      </c>
      <c r="B325" s="38">
        <v>-112.709988</v>
      </c>
      <c r="C325" s="39" t="s">
        <v>365</v>
      </c>
      <c r="D325" s="36"/>
    </row>
    <row r="326" ht="14.25" customHeight="1">
      <c r="A326" s="38">
        <v>39.119144</v>
      </c>
      <c r="B326" s="38">
        <v>-112.685888</v>
      </c>
      <c r="C326" s="39" t="s">
        <v>366</v>
      </c>
      <c r="D326" s="36"/>
    </row>
    <row r="327" ht="14.25" customHeight="1">
      <c r="A327" s="38">
        <v>39.119504</v>
      </c>
      <c r="B327" s="38">
        <v>-112.661918</v>
      </c>
      <c r="C327" s="39" t="s">
        <v>367</v>
      </c>
      <c r="D327" s="36"/>
    </row>
    <row r="328" ht="14.25" customHeight="1">
      <c r="A328" s="38">
        <v>39.120142</v>
      </c>
      <c r="B328" s="38">
        <v>-112.614153</v>
      </c>
      <c r="C328" s="39" t="s">
        <v>368</v>
      </c>
      <c r="D328" s="36"/>
    </row>
    <row r="329" ht="14.25" customHeight="1">
      <c r="A329" s="38">
        <v>39.120474</v>
      </c>
      <c r="B329" s="38">
        <v>-112.589758</v>
      </c>
      <c r="C329" s="39" t="s">
        <v>55</v>
      </c>
      <c r="D329" s="36"/>
    </row>
    <row r="330" ht="14.25" customHeight="1">
      <c r="A330" s="38">
        <v>39.137144</v>
      </c>
      <c r="B330" s="38">
        <v>-112.734568</v>
      </c>
      <c r="C330" s="39" t="s">
        <v>369</v>
      </c>
      <c r="D330" s="36"/>
    </row>
    <row r="331" ht="14.25" customHeight="1">
      <c r="A331" s="38">
        <v>39.137494</v>
      </c>
      <c r="B331" s="38">
        <v>-112.710518</v>
      </c>
      <c r="C331" s="39" t="s">
        <v>370</v>
      </c>
      <c r="D331" s="36"/>
    </row>
    <row r="332" ht="14.25" customHeight="1">
      <c r="A332" s="38">
        <v>39.137874</v>
      </c>
      <c r="B332" s="38">
        <v>-112.686418</v>
      </c>
      <c r="C332" s="39" t="s">
        <v>371</v>
      </c>
      <c r="D332" s="36"/>
    </row>
    <row r="333" ht="14.25" customHeight="1">
      <c r="A333" s="38">
        <v>39.138214</v>
      </c>
      <c r="B333" s="38">
        <v>-112.662378</v>
      </c>
      <c r="C333" s="39" t="s">
        <v>372</v>
      </c>
      <c r="D333" s="36"/>
    </row>
    <row r="334" ht="14.25" customHeight="1">
      <c r="A334" s="38">
        <v>39.137664</v>
      </c>
      <c r="B334" s="38">
        <v>-112.629658</v>
      </c>
      <c r="C334" s="39" t="s">
        <v>373</v>
      </c>
      <c r="D334" s="36"/>
    </row>
    <row r="335" ht="14.25" customHeight="1">
      <c r="A335" s="38">
        <v>38.81758</v>
      </c>
      <c r="B335" s="38">
        <v>-112.79862</v>
      </c>
      <c r="C335" s="39" t="s">
        <v>374</v>
      </c>
      <c r="D335" s="36"/>
    </row>
    <row r="336" ht="14.25" customHeight="1">
      <c r="A336" s="38">
        <v>38.817964</v>
      </c>
      <c r="B336" s="38">
        <v>-112.774618</v>
      </c>
      <c r="C336" s="39" t="s">
        <v>375</v>
      </c>
      <c r="D336" s="36"/>
    </row>
    <row r="337" ht="14.25" customHeight="1">
      <c r="A337" s="38">
        <v>38.818424</v>
      </c>
      <c r="B337" s="38">
        <v>-112.750698</v>
      </c>
      <c r="C337" s="39" t="s">
        <v>376</v>
      </c>
      <c r="D337" s="36"/>
    </row>
    <row r="338" ht="14.25" customHeight="1">
      <c r="A338" s="38">
        <v>38.818564</v>
      </c>
      <c r="B338" s="38">
        <v>-112.726688</v>
      </c>
      <c r="C338" s="39" t="s">
        <v>377</v>
      </c>
      <c r="D338" s="36"/>
    </row>
    <row r="339" ht="14.25" customHeight="1">
      <c r="A339" s="38">
        <v>38.818904</v>
      </c>
      <c r="B339" s="38">
        <v>-112.702778</v>
      </c>
      <c r="C339" s="39" t="s">
        <v>378</v>
      </c>
      <c r="D339" s="36"/>
    </row>
    <row r="340" ht="14.25" customHeight="1">
      <c r="A340" s="38">
        <v>38.819344</v>
      </c>
      <c r="B340" s="38">
        <v>-112.678878</v>
      </c>
      <c r="C340" s="39" t="s">
        <v>379</v>
      </c>
      <c r="D340" s="36"/>
    </row>
    <row r="341" ht="14.25" customHeight="1">
      <c r="A341" s="38">
        <v>38.83519</v>
      </c>
      <c r="B341" s="38">
        <v>-112.82434</v>
      </c>
      <c r="C341" s="39" t="s">
        <v>380</v>
      </c>
      <c r="D341" s="36"/>
    </row>
    <row r="342" ht="14.25" customHeight="1">
      <c r="A342" s="38">
        <v>38.83631</v>
      </c>
      <c r="B342" s="38">
        <v>-112.79909</v>
      </c>
      <c r="C342" s="39" t="s">
        <v>381</v>
      </c>
      <c r="D342" s="36"/>
    </row>
    <row r="343" ht="14.25" customHeight="1">
      <c r="A343" s="38">
        <v>38.836624</v>
      </c>
      <c r="B343" s="38">
        <v>-112.775168</v>
      </c>
      <c r="C343" s="39" t="s">
        <v>382</v>
      </c>
      <c r="D343" s="36"/>
    </row>
    <row r="344" ht="14.25" customHeight="1">
      <c r="A344" s="38">
        <v>38.837184</v>
      </c>
      <c r="B344" s="38">
        <v>-112.751148</v>
      </c>
      <c r="C344" s="39" t="s">
        <v>383</v>
      </c>
      <c r="D344" s="36"/>
    </row>
    <row r="345" ht="14.25" customHeight="1">
      <c r="A345" s="38">
        <v>38.837474</v>
      </c>
      <c r="B345" s="38">
        <v>-112.727288</v>
      </c>
      <c r="C345" s="39" t="s">
        <v>384</v>
      </c>
      <c r="D345" s="36"/>
    </row>
    <row r="346" ht="14.25" customHeight="1">
      <c r="A346" s="38">
        <v>38.837674</v>
      </c>
      <c r="B346" s="38">
        <v>-112.703368</v>
      </c>
      <c r="C346" s="39" t="s">
        <v>385</v>
      </c>
      <c r="D346" s="36"/>
    </row>
    <row r="347" ht="14.25" customHeight="1">
      <c r="A347" s="38">
        <v>38.838084</v>
      </c>
      <c r="B347" s="38">
        <v>-112.679278</v>
      </c>
      <c r="C347" s="39" t="s">
        <v>386</v>
      </c>
      <c r="D347" s="36"/>
    </row>
    <row r="348" ht="14.25" customHeight="1">
      <c r="A348" s="38">
        <v>38.838424</v>
      </c>
      <c r="B348" s="38">
        <v>-112.656508</v>
      </c>
      <c r="C348" s="39" t="s">
        <v>387</v>
      </c>
      <c r="D348" s="36"/>
    </row>
    <row r="349" ht="14.25" customHeight="1">
      <c r="A349" s="38">
        <v>38.85468</v>
      </c>
      <c r="B349" s="38">
        <v>-112.82352</v>
      </c>
      <c r="C349" s="39" t="s">
        <v>388</v>
      </c>
      <c r="D349" s="36"/>
    </row>
    <row r="350" ht="14.25" customHeight="1">
      <c r="A350" s="38">
        <v>38.854928</v>
      </c>
      <c r="B350" s="38">
        <v>-112.802666</v>
      </c>
      <c r="C350" s="39" t="s">
        <v>389</v>
      </c>
      <c r="D350" s="36"/>
    </row>
    <row r="351" ht="14.25" customHeight="1">
      <c r="A351" s="38">
        <v>38.855384</v>
      </c>
      <c r="B351" s="38">
        <v>-112.775558</v>
      </c>
      <c r="C351" s="39" t="s">
        <v>390</v>
      </c>
      <c r="D351" s="36"/>
    </row>
    <row r="352" ht="14.25" customHeight="1">
      <c r="A352" s="38">
        <v>38.855924</v>
      </c>
      <c r="B352" s="38">
        <v>-112.751848</v>
      </c>
      <c r="C352" s="39" t="s">
        <v>391</v>
      </c>
      <c r="D352" s="36"/>
    </row>
    <row r="353" ht="14.25" customHeight="1">
      <c r="A353" s="38">
        <v>38.856164</v>
      </c>
      <c r="B353" s="38">
        <v>-112.727688</v>
      </c>
      <c r="C353" s="39" t="s">
        <v>392</v>
      </c>
      <c r="D353" s="36"/>
    </row>
    <row r="354" ht="14.25" customHeight="1">
      <c r="A354" s="38">
        <v>38.856694</v>
      </c>
      <c r="B354" s="38">
        <v>-112.704008</v>
      </c>
      <c r="C354" s="39" t="s">
        <v>393</v>
      </c>
      <c r="D354" s="36"/>
    </row>
    <row r="355" ht="14.25" customHeight="1">
      <c r="A355" s="38">
        <v>38.856834</v>
      </c>
      <c r="B355" s="38">
        <v>-112.679728</v>
      </c>
      <c r="C355" s="39" t="s">
        <v>394</v>
      </c>
      <c r="D355" s="36"/>
    </row>
    <row r="356" ht="14.25" customHeight="1">
      <c r="A356" s="38">
        <v>38.857184</v>
      </c>
      <c r="B356" s="38">
        <v>-112.655738</v>
      </c>
      <c r="C356" s="39" t="s">
        <v>395</v>
      </c>
      <c r="D356" s="36"/>
    </row>
    <row r="357" ht="14.25" customHeight="1">
      <c r="A357" s="38">
        <v>38.857604</v>
      </c>
      <c r="B357" s="38">
        <v>-112.631558</v>
      </c>
      <c r="C357" s="39" t="s">
        <v>396</v>
      </c>
      <c r="D357" s="36"/>
    </row>
    <row r="358" ht="14.25" customHeight="1">
      <c r="A358" s="38">
        <v>38.85785</v>
      </c>
      <c r="B358" s="38">
        <v>-112.60787</v>
      </c>
      <c r="C358" s="39" t="s">
        <v>397</v>
      </c>
      <c r="D358" s="36"/>
    </row>
    <row r="359" ht="14.25" customHeight="1">
      <c r="A359" s="38">
        <v>38.87303</v>
      </c>
      <c r="B359" s="38">
        <v>-112.848</v>
      </c>
      <c r="C359" s="39" t="s">
        <v>398</v>
      </c>
      <c r="D359" s="36"/>
    </row>
    <row r="360" ht="14.25" customHeight="1">
      <c r="A360" s="38">
        <v>38.87341</v>
      </c>
      <c r="B360" s="38">
        <v>-112.824</v>
      </c>
      <c r="C360" s="39" t="s">
        <v>399</v>
      </c>
      <c r="D360" s="36"/>
    </row>
    <row r="361" ht="14.25" customHeight="1">
      <c r="A361" s="38">
        <v>38.873684</v>
      </c>
      <c r="B361" s="38">
        <v>-112.800048</v>
      </c>
      <c r="C361" s="39" t="s">
        <v>400</v>
      </c>
      <c r="D361" s="36"/>
    </row>
    <row r="362" ht="14.25" customHeight="1">
      <c r="A362" s="38">
        <v>38.874134</v>
      </c>
      <c r="B362" s="38">
        <v>-112.776128</v>
      </c>
      <c r="C362" s="39" t="s">
        <v>401</v>
      </c>
      <c r="D362" s="36"/>
    </row>
    <row r="363" ht="14.25" customHeight="1">
      <c r="A363" s="38">
        <v>38.874294</v>
      </c>
      <c r="B363" s="38">
        <v>-112.751918</v>
      </c>
      <c r="C363" s="39" t="s">
        <v>402</v>
      </c>
      <c r="D363" s="36"/>
    </row>
    <row r="364" ht="14.25" customHeight="1">
      <c r="A364" s="38">
        <v>38.874804</v>
      </c>
      <c r="B364" s="38">
        <v>-112.728078</v>
      </c>
      <c r="C364" s="39" t="s">
        <v>403</v>
      </c>
      <c r="D364" s="36"/>
    </row>
    <row r="365" ht="14.25" customHeight="1">
      <c r="A365" s="38">
        <v>38.875324</v>
      </c>
      <c r="B365" s="38">
        <v>-112.704128</v>
      </c>
      <c r="C365" s="39" t="s">
        <v>404</v>
      </c>
      <c r="D365" s="36"/>
    </row>
    <row r="366" ht="14.25" customHeight="1">
      <c r="A366" s="38">
        <v>38.875534</v>
      </c>
      <c r="B366" s="38">
        <v>-112.680198</v>
      </c>
      <c r="C366" s="39" t="s">
        <v>405</v>
      </c>
      <c r="D366" s="36"/>
    </row>
    <row r="367" ht="14.25" customHeight="1">
      <c r="A367" s="38">
        <v>38.875924</v>
      </c>
      <c r="B367" s="38">
        <v>-112.656198</v>
      </c>
      <c r="C367" s="39" t="s">
        <v>406</v>
      </c>
      <c r="D367" s="36"/>
    </row>
    <row r="368" ht="14.25" customHeight="1">
      <c r="A368" s="38">
        <v>38.876194</v>
      </c>
      <c r="B368" s="38">
        <v>-112.632278</v>
      </c>
      <c r="C368" s="39" t="s">
        <v>407</v>
      </c>
      <c r="D368" s="36"/>
    </row>
    <row r="369" ht="14.25" customHeight="1">
      <c r="A369" s="38">
        <v>38.87658</v>
      </c>
      <c r="B369" s="38">
        <v>-112.60829</v>
      </c>
      <c r="C369" s="39" t="s">
        <v>408</v>
      </c>
      <c r="D369" s="36"/>
    </row>
    <row r="370" ht="14.25" customHeight="1">
      <c r="A370" s="38">
        <v>38.87691</v>
      </c>
      <c r="B370" s="38">
        <v>-112.58432</v>
      </c>
      <c r="C370" s="39" t="s">
        <v>409</v>
      </c>
      <c r="D370" s="36"/>
    </row>
    <row r="371" ht="14.25" customHeight="1">
      <c r="A371" s="38">
        <v>38.891534</v>
      </c>
      <c r="B371" s="38">
        <v>-112.848158</v>
      </c>
      <c r="C371" s="39" t="s">
        <v>410</v>
      </c>
      <c r="D371" s="36"/>
    </row>
    <row r="372" ht="14.25" customHeight="1">
      <c r="A372" s="38">
        <v>38.892114</v>
      </c>
      <c r="B372" s="38">
        <v>-112.824498</v>
      </c>
      <c r="C372" s="39" t="s">
        <v>411</v>
      </c>
      <c r="D372" s="36"/>
    </row>
    <row r="373" ht="14.25" customHeight="1">
      <c r="A373" s="38">
        <v>38.892464</v>
      </c>
      <c r="B373" s="38">
        <v>-112.800488</v>
      </c>
      <c r="C373" s="39" t="s">
        <v>412</v>
      </c>
      <c r="D373" s="36"/>
    </row>
    <row r="374" ht="14.25" customHeight="1">
      <c r="A374" s="38">
        <v>38.892854</v>
      </c>
      <c r="B374" s="38">
        <v>-112.776508</v>
      </c>
      <c r="C374" s="39" t="s">
        <v>413</v>
      </c>
      <c r="D374" s="36"/>
    </row>
    <row r="375" ht="14.25" customHeight="1">
      <c r="A375" s="38">
        <v>38.893234</v>
      </c>
      <c r="B375" s="38">
        <v>-112.752528</v>
      </c>
      <c r="C375" s="39" t="s">
        <v>414</v>
      </c>
      <c r="D375" s="36"/>
    </row>
    <row r="376" ht="14.25" customHeight="1">
      <c r="A376" s="38">
        <v>38.893444</v>
      </c>
      <c r="B376" s="38">
        <v>-112.728788</v>
      </c>
      <c r="C376" s="39" t="s">
        <v>415</v>
      </c>
      <c r="D376" s="36"/>
    </row>
    <row r="377" ht="14.25" customHeight="1">
      <c r="A377" s="38">
        <v>38.893944</v>
      </c>
      <c r="B377" s="38">
        <v>-112.704858</v>
      </c>
      <c r="C377" s="39" t="s">
        <v>416</v>
      </c>
      <c r="D377" s="36"/>
    </row>
    <row r="378" ht="14.25" customHeight="1">
      <c r="A378" s="38">
        <v>38.894304</v>
      </c>
      <c r="B378" s="38">
        <v>-112.680638</v>
      </c>
      <c r="C378" s="39" t="s">
        <v>417</v>
      </c>
      <c r="D378" s="36"/>
    </row>
    <row r="379" ht="14.25" customHeight="1">
      <c r="A379" s="38">
        <v>38.894634</v>
      </c>
      <c r="B379" s="38">
        <v>-112.656618</v>
      </c>
      <c r="C379" s="39" t="s">
        <v>418</v>
      </c>
      <c r="D379" s="36"/>
    </row>
    <row r="380" ht="14.25" customHeight="1">
      <c r="A380" s="38">
        <v>38.894994</v>
      </c>
      <c r="B380" s="38">
        <v>-112.633448</v>
      </c>
      <c r="C380" s="39" t="s">
        <v>419</v>
      </c>
      <c r="D380" s="36"/>
    </row>
    <row r="381" ht="14.25" customHeight="1">
      <c r="A381" s="38">
        <v>38.895324</v>
      </c>
      <c r="B381" s="38">
        <v>-112.608728</v>
      </c>
      <c r="C381" s="39" t="s">
        <v>420</v>
      </c>
      <c r="D381" s="36"/>
    </row>
    <row r="382" ht="14.25" customHeight="1">
      <c r="A382" s="38">
        <v>38.89565</v>
      </c>
      <c r="B382" s="38">
        <v>-112.58473</v>
      </c>
      <c r="C382" s="39" t="s">
        <v>421</v>
      </c>
      <c r="D382" s="36"/>
    </row>
    <row r="383" ht="14.25" customHeight="1">
      <c r="A383" s="38">
        <v>38.910084</v>
      </c>
      <c r="B383" s="38">
        <v>-112.872738</v>
      </c>
      <c r="C383" s="39" t="s">
        <v>422</v>
      </c>
      <c r="D383" s="36"/>
    </row>
    <row r="384" ht="14.25" customHeight="1">
      <c r="A384" s="38">
        <v>38.910354</v>
      </c>
      <c r="B384" s="38">
        <v>-112.848948</v>
      </c>
      <c r="C384" s="39" t="s">
        <v>423</v>
      </c>
      <c r="D384" s="36"/>
    </row>
    <row r="385" ht="14.25" customHeight="1">
      <c r="A385" s="38">
        <v>38.910834</v>
      </c>
      <c r="B385" s="38">
        <v>-112.824968</v>
      </c>
      <c r="C385" s="39" t="s">
        <v>424</v>
      </c>
      <c r="D385" s="36"/>
    </row>
    <row r="386" ht="14.25" customHeight="1">
      <c r="A386" s="38">
        <v>38.91399</v>
      </c>
      <c r="B386" s="38">
        <v>-112.802764</v>
      </c>
      <c r="C386" s="39" t="s">
        <v>425</v>
      </c>
      <c r="D386" s="36"/>
    </row>
    <row r="387" ht="14.25" customHeight="1">
      <c r="A387" s="38">
        <v>38.911594</v>
      </c>
      <c r="B387" s="38">
        <v>-112.777018</v>
      </c>
      <c r="C387" s="39" t="s">
        <v>426</v>
      </c>
      <c r="D387" s="36"/>
    </row>
    <row r="388" ht="14.25" customHeight="1">
      <c r="A388" s="38">
        <v>38.911964</v>
      </c>
      <c r="B388" s="38">
        <v>-112.753058</v>
      </c>
      <c r="C388" s="39" t="s">
        <v>427</v>
      </c>
      <c r="D388" s="36"/>
    </row>
    <row r="389" ht="14.25" customHeight="1">
      <c r="A389" s="38">
        <v>38.912334</v>
      </c>
      <c r="B389" s="38">
        <v>-112.728478</v>
      </c>
      <c r="C389" s="39" t="s">
        <v>428</v>
      </c>
      <c r="D389" s="36"/>
    </row>
    <row r="390" ht="14.25" customHeight="1">
      <c r="A390" s="38">
        <v>38.91438</v>
      </c>
      <c r="B390" s="38">
        <v>-112.58515</v>
      </c>
      <c r="C390" s="39" t="s">
        <v>429</v>
      </c>
      <c r="D390" s="36"/>
    </row>
    <row r="391" ht="14.25" customHeight="1">
      <c r="A391" s="38">
        <v>38.91472</v>
      </c>
      <c r="B391" s="38">
        <v>-112.565</v>
      </c>
      <c r="C391" s="39" t="s">
        <v>430</v>
      </c>
      <c r="D391" s="36"/>
    </row>
    <row r="392" ht="14.25" customHeight="1">
      <c r="A392" s="38">
        <v>38.928774</v>
      </c>
      <c r="B392" s="38">
        <v>-112.872538</v>
      </c>
      <c r="C392" s="39" t="s">
        <v>431</v>
      </c>
      <c r="D392" s="36"/>
    </row>
    <row r="393" ht="14.25" customHeight="1">
      <c r="A393" s="38">
        <v>38.929424</v>
      </c>
      <c r="B393" s="38">
        <v>-112.849558</v>
      </c>
      <c r="C393" s="39" t="s">
        <v>432</v>
      </c>
      <c r="D393" s="36"/>
    </row>
    <row r="394" ht="14.25" customHeight="1">
      <c r="A394" s="38">
        <v>38.929624</v>
      </c>
      <c r="B394" s="38">
        <v>-112.825448</v>
      </c>
      <c r="C394" s="39" t="s">
        <v>433</v>
      </c>
      <c r="D394" s="36"/>
    </row>
    <row r="395" ht="14.25" customHeight="1">
      <c r="A395" s="38">
        <v>38.929984</v>
      </c>
      <c r="B395" s="38">
        <v>-112.801368</v>
      </c>
      <c r="C395" s="39" t="s">
        <v>434</v>
      </c>
      <c r="D395" s="36"/>
    </row>
    <row r="396" ht="14.25" customHeight="1">
      <c r="A396" s="38">
        <v>38.929259</v>
      </c>
      <c r="B396" s="38">
        <v>-112.778509</v>
      </c>
      <c r="C396" s="39" t="s">
        <v>435</v>
      </c>
      <c r="D396" s="36"/>
    </row>
    <row r="397" ht="14.25" customHeight="1">
      <c r="A397" s="38">
        <v>38.933434</v>
      </c>
      <c r="B397" s="38">
        <v>-112.561538</v>
      </c>
      <c r="C397" s="39" t="s">
        <v>436</v>
      </c>
      <c r="D397" s="36"/>
    </row>
    <row r="398" ht="14.25" customHeight="1">
      <c r="A398" s="38">
        <v>38.93376</v>
      </c>
      <c r="B398" s="38">
        <v>-112.53759</v>
      </c>
      <c r="C398" s="39" t="s">
        <v>437</v>
      </c>
      <c r="D398" s="36"/>
    </row>
    <row r="399" ht="14.25" customHeight="1">
      <c r="A399" s="38">
        <v>38.947314</v>
      </c>
      <c r="B399" s="38">
        <v>-112.874138</v>
      </c>
      <c r="C399" s="39" t="s">
        <v>438</v>
      </c>
      <c r="D399" s="36"/>
    </row>
    <row r="400" ht="14.25" customHeight="1">
      <c r="A400" s="38">
        <v>38.947934</v>
      </c>
      <c r="B400" s="38">
        <v>-112.849898</v>
      </c>
      <c r="C400" s="39" t="s">
        <v>439</v>
      </c>
      <c r="D400" s="36"/>
    </row>
    <row r="401" ht="14.25" customHeight="1">
      <c r="A401" s="38">
        <v>38.948354</v>
      </c>
      <c r="B401" s="38">
        <v>-112.825918</v>
      </c>
      <c r="C401" s="39" t="s">
        <v>440</v>
      </c>
      <c r="D401" s="36"/>
    </row>
    <row r="402" ht="14.25" customHeight="1">
      <c r="A402" s="38">
        <v>38.948624</v>
      </c>
      <c r="B402" s="38">
        <v>-112.801698</v>
      </c>
      <c r="C402" s="39" t="s">
        <v>441</v>
      </c>
      <c r="D402" s="36"/>
    </row>
    <row r="403" ht="14.25" customHeight="1">
      <c r="A403" s="38">
        <v>38.950054</v>
      </c>
      <c r="B403" s="38">
        <v>-112.566748</v>
      </c>
      <c r="C403" s="39" t="s">
        <v>442</v>
      </c>
      <c r="D403" s="36"/>
    </row>
    <row r="404" ht="14.25" customHeight="1">
      <c r="A404" s="38">
        <v>38.9525</v>
      </c>
      <c r="B404" s="38">
        <v>-112.53799</v>
      </c>
      <c r="C404" s="39" t="s">
        <v>443</v>
      </c>
      <c r="D404" s="36"/>
    </row>
    <row r="405" ht="14.25" customHeight="1">
      <c r="A405" s="38">
        <v>38.95281</v>
      </c>
      <c r="B405" s="38">
        <v>-112.514</v>
      </c>
      <c r="C405" s="39" t="s">
        <v>444</v>
      </c>
      <c r="D405" s="36"/>
    </row>
    <row r="406" ht="14.25" customHeight="1">
      <c r="A406" s="38">
        <v>38.966274</v>
      </c>
      <c r="B406" s="38">
        <v>-112.874508</v>
      </c>
      <c r="C406" s="39" t="s">
        <v>445</v>
      </c>
      <c r="D406" s="36"/>
    </row>
    <row r="407" ht="14.25" customHeight="1">
      <c r="A407" s="38">
        <v>38.966694</v>
      </c>
      <c r="B407" s="38">
        <v>-112.850378</v>
      </c>
      <c r="C407" s="39" t="s">
        <v>446</v>
      </c>
      <c r="D407" s="36"/>
    </row>
    <row r="408" ht="14.25" customHeight="1">
      <c r="A408" s="38">
        <v>38.967084</v>
      </c>
      <c r="B408" s="38">
        <v>-112.826358</v>
      </c>
      <c r="C408" s="39" t="s">
        <v>447</v>
      </c>
      <c r="D408" s="36"/>
    </row>
    <row r="409" ht="14.25" customHeight="1">
      <c r="A409" s="38">
        <v>38.97124</v>
      </c>
      <c r="B409" s="38">
        <v>-112.5384</v>
      </c>
      <c r="C409" s="39" t="s">
        <v>448</v>
      </c>
      <c r="D409" s="36"/>
    </row>
    <row r="410" ht="14.25" customHeight="1">
      <c r="A410" s="38">
        <v>38.97155</v>
      </c>
      <c r="B410" s="38">
        <v>-112.5144</v>
      </c>
      <c r="C410" s="39" t="s">
        <v>449</v>
      </c>
      <c r="D410" s="36"/>
    </row>
    <row r="411" ht="14.25" customHeight="1">
      <c r="A411" s="38">
        <v>38.985044</v>
      </c>
      <c r="B411" s="38">
        <v>-112.874878</v>
      </c>
      <c r="C411" s="39" t="s">
        <v>450</v>
      </c>
      <c r="D411" s="36"/>
    </row>
    <row r="412" ht="14.25" customHeight="1">
      <c r="A412" s="38">
        <v>38.985464</v>
      </c>
      <c r="B412" s="38">
        <v>-112.850868</v>
      </c>
      <c r="C412" s="39" t="s">
        <v>451</v>
      </c>
      <c r="D412" s="36"/>
    </row>
    <row r="413" ht="14.25" customHeight="1">
      <c r="A413" s="38">
        <v>38.985794</v>
      </c>
      <c r="B413" s="38">
        <v>-112.826878</v>
      </c>
      <c r="C413" s="39" t="s">
        <v>452</v>
      </c>
      <c r="D413" s="36"/>
    </row>
    <row r="414" ht="14.25" customHeight="1">
      <c r="A414" s="38">
        <v>38.98997</v>
      </c>
      <c r="B414" s="38">
        <v>-112.53881</v>
      </c>
      <c r="C414" s="39" t="s">
        <v>453</v>
      </c>
      <c r="D414" s="36"/>
    </row>
    <row r="415" ht="14.25" customHeight="1">
      <c r="A415" s="38">
        <v>38.99029</v>
      </c>
      <c r="B415" s="38">
        <v>-112.5148</v>
      </c>
      <c r="C415" s="39" t="s">
        <v>454</v>
      </c>
      <c r="D415" s="36"/>
    </row>
    <row r="416" ht="14.25" customHeight="1">
      <c r="A416" s="38">
        <v>39.004154</v>
      </c>
      <c r="B416" s="38">
        <v>-112.851298</v>
      </c>
      <c r="C416" s="39" t="s">
        <v>455</v>
      </c>
      <c r="D416" s="36"/>
    </row>
    <row r="417" ht="14.25" customHeight="1">
      <c r="A417" s="38">
        <v>39.00871</v>
      </c>
      <c r="B417" s="38">
        <v>-112.53921</v>
      </c>
      <c r="C417" s="39" t="s">
        <v>456</v>
      </c>
      <c r="D417" s="36"/>
    </row>
    <row r="418" ht="14.25" customHeight="1">
      <c r="A418" s="38">
        <v>39.00902</v>
      </c>
      <c r="B418" s="38">
        <v>-112.5152</v>
      </c>
      <c r="C418" s="39" t="s">
        <v>457</v>
      </c>
      <c r="D418" s="36"/>
    </row>
    <row r="419" ht="14.25" customHeight="1">
      <c r="A419" s="38">
        <v>39.00933</v>
      </c>
      <c r="B419" s="38">
        <v>-112.49118</v>
      </c>
      <c r="C419" s="39" t="s">
        <v>458</v>
      </c>
      <c r="D419" s="36"/>
    </row>
    <row r="420" ht="14.25" customHeight="1">
      <c r="A420" s="38">
        <v>39.027764</v>
      </c>
      <c r="B420" s="38">
        <v>-112.515068</v>
      </c>
      <c r="C420" s="39" t="s">
        <v>459</v>
      </c>
      <c r="D420" s="36"/>
    </row>
    <row r="421" ht="14.25" customHeight="1">
      <c r="A421" s="38">
        <v>39.027834</v>
      </c>
      <c r="B421" s="38">
        <v>-112.492328</v>
      </c>
      <c r="C421" s="39" t="s">
        <v>460</v>
      </c>
      <c r="D421" s="36"/>
    </row>
    <row r="422" ht="14.25" customHeight="1">
      <c r="A422" s="38">
        <v>39.046654</v>
      </c>
      <c r="B422" s="38">
        <v>-112.516468</v>
      </c>
      <c r="C422" s="39" t="s">
        <v>461</v>
      </c>
      <c r="D422" s="36"/>
    </row>
    <row r="423" ht="14.25" customHeight="1">
      <c r="A423" s="38">
        <v>39.046624</v>
      </c>
      <c r="B423" s="38">
        <v>-112.492498</v>
      </c>
      <c r="C423" s="39" t="s">
        <v>462</v>
      </c>
      <c r="D423" s="36"/>
    </row>
    <row r="424" ht="14.25" customHeight="1">
      <c r="A424" s="38">
        <v>39.047124</v>
      </c>
      <c r="B424" s="38">
        <v>-112.466828</v>
      </c>
      <c r="C424" s="39" t="s">
        <v>463</v>
      </c>
      <c r="D424" s="36"/>
    </row>
    <row r="425" ht="14.25" customHeight="1">
      <c r="A425" s="38">
        <v>39.065939</v>
      </c>
      <c r="B425" s="38">
        <v>-112.515978</v>
      </c>
      <c r="C425" s="39" t="s">
        <v>464</v>
      </c>
      <c r="D425" s="36"/>
    </row>
    <row r="426" ht="14.25" customHeight="1">
      <c r="A426" s="38">
        <v>39.065544</v>
      </c>
      <c r="B426" s="38">
        <v>-112.492448</v>
      </c>
      <c r="C426" s="39" t="s">
        <v>465</v>
      </c>
      <c r="D426" s="36"/>
    </row>
    <row r="427" ht="14.25" customHeight="1">
      <c r="A427" s="38">
        <v>39.065844</v>
      </c>
      <c r="B427" s="38">
        <v>-112.468298</v>
      </c>
      <c r="C427" s="39" t="s">
        <v>466</v>
      </c>
      <c r="D427" s="36"/>
    </row>
    <row r="428" ht="14.25" customHeight="1">
      <c r="A428" s="38">
        <v>39.083254</v>
      </c>
      <c r="B428" s="38">
        <v>-112.517968</v>
      </c>
      <c r="C428" s="39" t="s">
        <v>467</v>
      </c>
      <c r="D428" s="36"/>
    </row>
    <row r="429" ht="14.25" customHeight="1">
      <c r="A429" s="38">
        <v>39.084304</v>
      </c>
      <c r="B429" s="38">
        <v>-112.492768</v>
      </c>
      <c r="C429" s="39" t="s">
        <v>468</v>
      </c>
      <c r="D429" s="36"/>
    </row>
    <row r="430" ht="14.25" customHeight="1">
      <c r="A430" s="38">
        <v>39.084594</v>
      </c>
      <c r="B430" s="38">
        <v>-112.468528</v>
      </c>
      <c r="C430" s="39" t="s">
        <v>469</v>
      </c>
      <c r="D430" s="36"/>
    </row>
    <row r="431" ht="14.25" customHeight="1">
      <c r="A431" s="38">
        <v>39.098034</v>
      </c>
      <c r="B431" s="38">
        <v>-112.829698</v>
      </c>
      <c r="C431" s="39" t="s">
        <v>470</v>
      </c>
      <c r="D431" s="36"/>
    </row>
    <row r="432" ht="14.25" customHeight="1">
      <c r="A432" s="38">
        <v>39.100444</v>
      </c>
      <c r="B432" s="38">
        <v>-112.809438</v>
      </c>
      <c r="C432" s="39" t="s">
        <v>471</v>
      </c>
      <c r="D432" s="36"/>
    </row>
    <row r="433" ht="14.25" customHeight="1">
      <c r="A433" s="38">
        <v>39.103584</v>
      </c>
      <c r="B433" s="38">
        <v>-112.537818</v>
      </c>
      <c r="C433" s="39" t="s">
        <v>472</v>
      </c>
      <c r="D433" s="36"/>
    </row>
    <row r="434" ht="14.25" customHeight="1">
      <c r="A434" s="38">
        <v>39.102704</v>
      </c>
      <c r="B434" s="38">
        <v>-112.517188</v>
      </c>
      <c r="C434" s="39" t="s">
        <v>473</v>
      </c>
      <c r="D434" s="36"/>
    </row>
    <row r="435" ht="14.25" customHeight="1">
      <c r="A435" s="38">
        <v>39.103034</v>
      </c>
      <c r="B435" s="38">
        <v>-112.493128</v>
      </c>
      <c r="C435" s="39" t="s">
        <v>474</v>
      </c>
      <c r="D435" s="36"/>
    </row>
    <row r="436" ht="14.25" customHeight="1">
      <c r="A436" s="38">
        <v>39.103244</v>
      </c>
      <c r="B436" s="38">
        <v>-112.469118</v>
      </c>
      <c r="C436" s="39" t="s">
        <v>475</v>
      </c>
      <c r="D436" s="36"/>
    </row>
    <row r="437" ht="14.25" customHeight="1">
      <c r="A437" s="38">
        <v>39.116914</v>
      </c>
      <c r="B437" s="38">
        <v>-112.830148</v>
      </c>
      <c r="C437" s="39" t="s">
        <v>476</v>
      </c>
      <c r="D437" s="36"/>
    </row>
    <row r="438" ht="14.25" customHeight="1">
      <c r="A438" s="38">
        <v>39.117234</v>
      </c>
      <c r="B438" s="38">
        <v>-112.806198</v>
      </c>
      <c r="C438" s="39" t="s">
        <v>477</v>
      </c>
      <c r="D438" s="36"/>
    </row>
    <row r="439" ht="14.25" customHeight="1">
      <c r="A439" s="38">
        <v>39.117718</v>
      </c>
      <c r="B439" s="38">
        <v>-112.780998</v>
      </c>
      <c r="C439" s="39" t="s">
        <v>478</v>
      </c>
      <c r="D439" s="36"/>
    </row>
    <row r="440" ht="14.25" customHeight="1">
      <c r="A440" s="38">
        <v>39.12038</v>
      </c>
      <c r="B440" s="38">
        <v>-112.63267</v>
      </c>
      <c r="C440" s="39" t="s">
        <v>479</v>
      </c>
      <c r="D440" s="36"/>
    </row>
    <row r="441" ht="14.25" customHeight="1">
      <c r="A441" s="38">
        <v>39.121104</v>
      </c>
      <c r="B441" s="38">
        <v>-112.558598</v>
      </c>
      <c r="C441" s="39" t="s">
        <v>480</v>
      </c>
      <c r="D441" s="36"/>
    </row>
    <row r="442" ht="14.25" customHeight="1">
      <c r="A442" s="38">
        <v>39.120134</v>
      </c>
      <c r="B442" s="38">
        <v>-112.541418</v>
      </c>
      <c r="C442" s="39" t="s">
        <v>481</v>
      </c>
      <c r="D442" s="36"/>
    </row>
    <row r="443" ht="14.25" customHeight="1">
      <c r="A443" s="38">
        <v>39.121484</v>
      </c>
      <c r="B443" s="38">
        <v>-112.517578</v>
      </c>
      <c r="C443" s="39" t="s">
        <v>482</v>
      </c>
      <c r="D443" s="36"/>
    </row>
    <row r="444" ht="14.25" customHeight="1">
      <c r="A444" s="38">
        <v>39.121744</v>
      </c>
      <c r="B444" s="38">
        <v>-112.493548</v>
      </c>
      <c r="C444" s="39" t="s">
        <v>483</v>
      </c>
      <c r="D444" s="36"/>
    </row>
    <row r="445" ht="14.25" customHeight="1">
      <c r="A445" s="38">
        <v>39.122024</v>
      </c>
      <c r="B445" s="38">
        <v>-112.469498</v>
      </c>
      <c r="C445" s="39" t="s">
        <v>484</v>
      </c>
      <c r="D445" s="36"/>
    </row>
    <row r="446" ht="14.25" customHeight="1">
      <c r="A446" s="38">
        <v>39.136064</v>
      </c>
      <c r="B446" s="38">
        <v>-112.806708</v>
      </c>
      <c r="C446" s="39" t="s">
        <v>485</v>
      </c>
      <c r="D446" s="36"/>
    </row>
    <row r="447" ht="14.25" customHeight="1">
      <c r="A447" s="38">
        <v>39.136404</v>
      </c>
      <c r="B447" s="38">
        <v>-112.782858</v>
      </c>
      <c r="C447" s="39" t="s">
        <v>486</v>
      </c>
      <c r="D447" s="36"/>
    </row>
    <row r="448" ht="14.25" customHeight="1">
      <c r="A448" s="38">
        <v>39.136824</v>
      </c>
      <c r="B448" s="38">
        <v>-112.758528</v>
      </c>
      <c r="C448" s="39" t="s">
        <v>487</v>
      </c>
      <c r="D448" s="36"/>
    </row>
    <row r="449" ht="14.25" customHeight="1">
      <c r="A449" s="38">
        <v>39.138864</v>
      </c>
      <c r="B449" s="38">
        <v>-112.614228</v>
      </c>
      <c r="C449" s="39" t="s">
        <v>488</v>
      </c>
      <c r="D449" s="36"/>
    </row>
    <row r="450" ht="14.25" customHeight="1">
      <c r="A450" s="38">
        <v>39.139224</v>
      </c>
      <c r="B450" s="38">
        <v>-112.590168</v>
      </c>
      <c r="C450" s="39" t="s">
        <v>489</v>
      </c>
      <c r="D450" s="36"/>
    </row>
    <row r="451" ht="14.25" customHeight="1">
      <c r="A451" s="38">
        <v>39.139524</v>
      </c>
      <c r="B451" s="38">
        <v>-112.566108</v>
      </c>
      <c r="C451" s="39" t="s">
        <v>490</v>
      </c>
      <c r="D451" s="36"/>
    </row>
    <row r="452" ht="14.25" customHeight="1">
      <c r="A452" s="38">
        <v>39.141708</v>
      </c>
      <c r="B452" s="38">
        <v>-112.539286</v>
      </c>
      <c r="C452" s="39" t="s">
        <v>491</v>
      </c>
      <c r="D452" s="36"/>
    </row>
    <row r="453" ht="14.25" customHeight="1">
      <c r="A453" s="38">
        <v>39.140234</v>
      </c>
      <c r="B453" s="38">
        <v>-112.517938</v>
      </c>
      <c r="C453" s="39" t="s">
        <v>492</v>
      </c>
      <c r="D453" s="36"/>
    </row>
    <row r="454" ht="14.25" customHeight="1">
      <c r="A454" s="38">
        <v>39.140594</v>
      </c>
      <c r="B454" s="38">
        <v>-112.493938</v>
      </c>
      <c r="C454" s="39" t="s">
        <v>493</v>
      </c>
      <c r="D454" s="36"/>
    </row>
    <row r="455" ht="14.25" customHeight="1">
      <c r="A455" s="38">
        <v>39.140774</v>
      </c>
      <c r="B455" s="38">
        <v>-112.469878</v>
      </c>
      <c r="C455" s="39" t="s">
        <v>494</v>
      </c>
      <c r="D455" s="36"/>
    </row>
    <row r="456" ht="14.25" customHeight="1">
      <c r="A456" s="38">
        <v>39.155174</v>
      </c>
      <c r="B456" s="38">
        <v>-112.783028</v>
      </c>
      <c r="C456" s="39" t="s">
        <v>495</v>
      </c>
      <c r="D456" s="36"/>
    </row>
    <row r="457" ht="14.25" customHeight="1">
      <c r="A457" s="38">
        <v>39.154644</v>
      </c>
      <c r="B457" s="38">
        <v>-112.759068</v>
      </c>
      <c r="C457" s="39" t="s">
        <v>496</v>
      </c>
      <c r="D457" s="36"/>
    </row>
    <row r="458" ht="14.25" customHeight="1">
      <c r="A458" s="38">
        <v>39.155914</v>
      </c>
      <c r="B458" s="38">
        <v>-112.734928</v>
      </c>
      <c r="C458" s="39" t="s">
        <v>497</v>
      </c>
      <c r="D458" s="36"/>
    </row>
    <row r="459" ht="14.25" customHeight="1">
      <c r="A459" s="38">
        <v>39.156264</v>
      </c>
      <c r="B459" s="38">
        <v>-112.710868</v>
      </c>
      <c r="C459" s="39" t="s">
        <v>498</v>
      </c>
      <c r="D459" s="36"/>
    </row>
    <row r="460" ht="14.25" customHeight="1">
      <c r="A460" s="38">
        <v>39.156594</v>
      </c>
      <c r="B460" s="38">
        <v>-112.686888</v>
      </c>
      <c r="C460" s="39" t="s">
        <v>499</v>
      </c>
      <c r="D460" s="36"/>
    </row>
    <row r="461" ht="14.25" customHeight="1">
      <c r="A461" s="38">
        <v>39.156914</v>
      </c>
      <c r="B461" s="38">
        <v>-112.662798</v>
      </c>
      <c r="C461" s="39" t="s">
        <v>500</v>
      </c>
      <c r="D461" s="36"/>
    </row>
    <row r="462" ht="14.25" customHeight="1">
      <c r="A462" s="38">
        <v>39.157334</v>
      </c>
      <c r="B462" s="38">
        <v>-112.634128</v>
      </c>
      <c r="C462" s="39" t="s">
        <v>501</v>
      </c>
      <c r="D462" s="36"/>
    </row>
    <row r="463" ht="14.25" customHeight="1">
      <c r="A463" s="38">
        <v>39.157684</v>
      </c>
      <c r="B463" s="38">
        <v>-112.615018</v>
      </c>
      <c r="C463" s="39" t="s">
        <v>502</v>
      </c>
      <c r="D463" s="36"/>
    </row>
    <row r="464" ht="14.25" customHeight="1">
      <c r="A464" s="38">
        <v>39.157814</v>
      </c>
      <c r="B464" s="38">
        <v>-112.590688</v>
      </c>
      <c r="C464" s="39" t="s">
        <v>503</v>
      </c>
      <c r="D464" s="36"/>
    </row>
    <row r="465" ht="14.25" customHeight="1">
      <c r="A465" s="38">
        <v>39.158284</v>
      </c>
      <c r="B465" s="38">
        <v>-112.566598</v>
      </c>
      <c r="C465" s="39" t="s">
        <v>504</v>
      </c>
      <c r="D465" s="36"/>
    </row>
    <row r="466" ht="14.25" customHeight="1">
      <c r="A466" s="38">
        <v>39.158604</v>
      </c>
      <c r="B466" s="38">
        <v>-112.542448</v>
      </c>
      <c r="C466" s="39" t="s">
        <v>505</v>
      </c>
      <c r="D466" s="36"/>
    </row>
    <row r="467" ht="14.25" customHeight="1">
      <c r="A467" s="38">
        <v>39.158894</v>
      </c>
      <c r="B467" s="38">
        <v>-112.518438</v>
      </c>
      <c r="C467" s="39" t="s">
        <v>506</v>
      </c>
      <c r="D467" s="36"/>
    </row>
    <row r="468" ht="14.25" customHeight="1">
      <c r="A468" s="38">
        <v>39.159274</v>
      </c>
      <c r="B468" s="38">
        <v>-112.494208</v>
      </c>
      <c r="C468" s="39" t="s">
        <v>507</v>
      </c>
      <c r="D468" s="36"/>
    </row>
    <row r="469" ht="14.25" customHeight="1">
      <c r="A469" s="38">
        <v>39.159424</v>
      </c>
      <c r="B469" s="38">
        <v>-112.470328</v>
      </c>
      <c r="C469" s="39" t="s">
        <v>508</v>
      </c>
      <c r="D469" s="36"/>
    </row>
    <row r="470" ht="14.25" customHeight="1">
      <c r="A470" s="38">
        <v>39.182774</v>
      </c>
      <c r="B470" s="38">
        <v>-112.757658</v>
      </c>
      <c r="C470" s="39" t="s">
        <v>509</v>
      </c>
      <c r="D470" s="36"/>
    </row>
    <row r="471" ht="14.25" customHeight="1">
      <c r="A471" s="38">
        <v>39.174574</v>
      </c>
      <c r="B471" s="38">
        <v>-112.735378</v>
      </c>
      <c r="C471" s="39" t="s">
        <v>510</v>
      </c>
      <c r="D471" s="36"/>
    </row>
    <row r="472" ht="14.25" customHeight="1">
      <c r="A472" s="38">
        <v>39.174944</v>
      </c>
      <c r="B472" s="38">
        <v>-112.711378</v>
      </c>
      <c r="C472" s="39" t="s">
        <v>511</v>
      </c>
      <c r="D472" s="36"/>
    </row>
    <row r="473" ht="14.25" customHeight="1">
      <c r="A473" s="38">
        <v>39.175304</v>
      </c>
      <c r="B473" s="38">
        <v>-112.687348</v>
      </c>
      <c r="C473" s="39" t="s">
        <v>512</v>
      </c>
      <c r="D473" s="36"/>
    </row>
    <row r="474" ht="14.25" customHeight="1">
      <c r="A474" s="38">
        <v>39.175884</v>
      </c>
      <c r="B474" s="38">
        <v>-112.663118</v>
      </c>
      <c r="C474" s="39" t="s">
        <v>513</v>
      </c>
      <c r="D474" s="36"/>
    </row>
    <row r="475" ht="14.25" customHeight="1">
      <c r="A475" s="38">
        <v>39.175974</v>
      </c>
      <c r="B475" s="38">
        <v>-112.634138</v>
      </c>
      <c r="C475" s="39" t="s">
        <v>514</v>
      </c>
      <c r="D475" s="36"/>
    </row>
    <row r="476" ht="14.25" customHeight="1">
      <c r="A476" s="38">
        <v>39.176374</v>
      </c>
      <c r="B476" s="38">
        <v>-112.614978</v>
      </c>
      <c r="C476" s="39" t="s">
        <v>515</v>
      </c>
      <c r="D476" s="36"/>
    </row>
    <row r="477" ht="14.25" customHeight="1">
      <c r="A477" s="38">
        <v>39.176674</v>
      </c>
      <c r="B477" s="38">
        <v>-112.591178</v>
      </c>
      <c r="C477" s="39" t="s">
        <v>516</v>
      </c>
      <c r="D477" s="36"/>
    </row>
    <row r="478" ht="14.25" customHeight="1">
      <c r="A478" s="38">
        <v>39.177044</v>
      </c>
      <c r="B478" s="38">
        <v>-112.566858</v>
      </c>
      <c r="C478" s="39" t="s">
        <v>517</v>
      </c>
      <c r="D478" s="36"/>
    </row>
    <row r="479" ht="14.25" customHeight="1">
      <c r="A479" s="38">
        <v>39.177324</v>
      </c>
      <c r="B479" s="38">
        <v>-112.542948</v>
      </c>
      <c r="C479" s="39" t="s">
        <v>518</v>
      </c>
      <c r="D479" s="36"/>
    </row>
    <row r="480" ht="14.25" customHeight="1">
      <c r="A480" s="38">
        <v>39.177674</v>
      </c>
      <c r="B480" s="38">
        <v>-112.518778</v>
      </c>
      <c r="C480" s="39" t="s">
        <v>519</v>
      </c>
      <c r="D480" s="36"/>
    </row>
    <row r="481" ht="14.25" customHeight="1">
      <c r="A481" s="38">
        <v>39.177934</v>
      </c>
      <c r="B481" s="38">
        <v>-112.494608</v>
      </c>
      <c r="C481" s="39" t="s">
        <v>520</v>
      </c>
      <c r="D481" s="36"/>
    </row>
    <row r="482" ht="14.25" customHeight="1">
      <c r="A482" s="38">
        <v>39.178214</v>
      </c>
      <c r="B482" s="38">
        <v>-112.470588</v>
      </c>
      <c r="C482" s="39" t="s">
        <v>521</v>
      </c>
      <c r="D482" s="36"/>
    </row>
    <row r="483" ht="14.25" customHeight="1">
      <c r="A483" s="38">
        <v>39.193344</v>
      </c>
      <c r="B483" s="38">
        <v>-112.735828</v>
      </c>
      <c r="C483" s="39" t="s">
        <v>522</v>
      </c>
      <c r="D483" s="36"/>
    </row>
    <row r="484" ht="14.25" customHeight="1">
      <c r="A484" s="38">
        <v>39.193734</v>
      </c>
      <c r="B484" s="38">
        <v>-112.711868</v>
      </c>
      <c r="C484" s="39" t="s">
        <v>523</v>
      </c>
      <c r="D484" s="36"/>
    </row>
    <row r="485" ht="14.25" customHeight="1">
      <c r="A485" s="38">
        <v>39.194094</v>
      </c>
      <c r="B485" s="38">
        <v>-112.687721</v>
      </c>
      <c r="C485" s="39" t="s">
        <v>524</v>
      </c>
      <c r="D485" s="36"/>
    </row>
    <row r="486" ht="14.25" customHeight="1">
      <c r="A486" s="38">
        <v>39.194434</v>
      </c>
      <c r="B486" s="38">
        <v>-112.663688</v>
      </c>
      <c r="C486" s="39" t="s">
        <v>525</v>
      </c>
      <c r="D486" s="36"/>
    </row>
    <row r="487" ht="14.25" customHeight="1">
      <c r="A487" s="38">
        <v>39.194854</v>
      </c>
      <c r="B487" s="38">
        <v>-112.634988</v>
      </c>
      <c r="C487" s="39" t="s">
        <v>526</v>
      </c>
      <c r="D487" s="36"/>
    </row>
    <row r="488" ht="14.25" customHeight="1">
      <c r="A488" s="38">
        <v>39.195128</v>
      </c>
      <c r="B488" s="38">
        <v>-112.616325</v>
      </c>
      <c r="C488" s="39" t="s">
        <v>527</v>
      </c>
      <c r="D488" s="36"/>
    </row>
    <row r="489" ht="14.25" customHeight="1">
      <c r="A489" s="38">
        <v>39.195324</v>
      </c>
      <c r="B489" s="38">
        <v>-112.591168</v>
      </c>
      <c r="C489" s="39" t="s">
        <v>528</v>
      </c>
      <c r="D489" s="36"/>
    </row>
    <row r="490" ht="14.25" customHeight="1">
      <c r="A490" s="38">
        <v>39.195614</v>
      </c>
      <c r="B490" s="38">
        <v>-112.567528</v>
      </c>
      <c r="C490" s="39" t="s">
        <v>529</v>
      </c>
      <c r="D490" s="36"/>
    </row>
    <row r="491" ht="14.25" customHeight="1">
      <c r="A491" s="38">
        <v>39.196034</v>
      </c>
      <c r="B491" s="38">
        <v>-112.543378</v>
      </c>
      <c r="C491" s="39" t="s">
        <v>530</v>
      </c>
      <c r="D491" s="36"/>
    </row>
    <row r="492" ht="14.25" customHeight="1">
      <c r="A492" s="38">
        <v>39.196534</v>
      </c>
      <c r="B492" s="38">
        <v>-112.519438</v>
      </c>
      <c r="C492" s="39" t="s">
        <v>531</v>
      </c>
      <c r="D492" s="36"/>
    </row>
    <row r="493" ht="14.25" customHeight="1">
      <c r="A493" s="38">
        <v>39.196727</v>
      </c>
      <c r="B493" s="38">
        <v>-112.494526</v>
      </c>
      <c r="C493" s="39" t="s">
        <v>532</v>
      </c>
      <c r="D493" s="36"/>
    </row>
    <row r="494" ht="14.25" customHeight="1">
      <c r="A494" s="38">
        <v>39.197204</v>
      </c>
      <c r="B494" s="38">
        <v>-112.470708</v>
      </c>
      <c r="C494" s="39" t="s">
        <v>533</v>
      </c>
      <c r="D494" s="36"/>
    </row>
    <row r="495" ht="14.25" customHeight="1">
      <c r="A495" s="38">
        <v>39.212124</v>
      </c>
      <c r="B495" s="38">
        <v>-112.736328</v>
      </c>
      <c r="C495" s="39" t="s">
        <v>534</v>
      </c>
      <c r="D495" s="36"/>
    </row>
    <row r="496" ht="14.25" customHeight="1">
      <c r="A496" s="38">
        <v>39.212404</v>
      </c>
      <c r="B496" s="38">
        <v>-112.712248</v>
      </c>
      <c r="C496" s="39" t="s">
        <v>535</v>
      </c>
      <c r="D496" s="36"/>
    </row>
    <row r="497" ht="14.25" customHeight="1">
      <c r="A497" s="38">
        <v>39.212784</v>
      </c>
      <c r="B497" s="38">
        <v>-112.689704</v>
      </c>
      <c r="C497" s="39" t="s">
        <v>536</v>
      </c>
      <c r="D497" s="36"/>
    </row>
    <row r="498" ht="14.25" customHeight="1">
      <c r="A498" s="38">
        <v>39.215214</v>
      </c>
      <c r="B498" s="38">
        <v>-112.664288</v>
      </c>
      <c r="C498" s="39" t="s">
        <v>537</v>
      </c>
      <c r="D498" s="36"/>
    </row>
    <row r="499" ht="14.25" customHeight="1">
      <c r="A499" s="38">
        <v>39.213424</v>
      </c>
      <c r="B499" s="38">
        <v>-112.639958</v>
      </c>
      <c r="C499" s="39" t="s">
        <v>538</v>
      </c>
      <c r="D499" s="36"/>
    </row>
    <row r="500" ht="14.25" customHeight="1">
      <c r="A500" s="38">
        <v>39.213894</v>
      </c>
      <c r="B500" s="38">
        <v>-112.616058</v>
      </c>
      <c r="C500" s="39" t="s">
        <v>539</v>
      </c>
      <c r="D500" s="36"/>
    </row>
    <row r="501" ht="14.25" customHeight="1">
      <c r="A501" s="38">
        <v>39.214094</v>
      </c>
      <c r="B501" s="38">
        <v>-112.591748</v>
      </c>
      <c r="C501" s="39" t="s">
        <v>540</v>
      </c>
      <c r="D501" s="36"/>
    </row>
    <row r="502" ht="14.25" customHeight="1">
      <c r="A502" s="38">
        <v>39.214394</v>
      </c>
      <c r="B502" s="38">
        <v>-112.567798</v>
      </c>
      <c r="C502" s="39" t="s">
        <v>541</v>
      </c>
      <c r="D502" s="36"/>
    </row>
    <row r="503" ht="14.25" customHeight="1">
      <c r="A503" s="38">
        <v>39.214844</v>
      </c>
      <c r="B503" s="38">
        <v>-112.543708</v>
      </c>
      <c r="C503" s="39" t="s">
        <v>542</v>
      </c>
      <c r="D503" s="36"/>
    </row>
    <row r="504" ht="14.25" customHeight="1">
      <c r="A504" s="38">
        <v>39.215194</v>
      </c>
      <c r="B504" s="38">
        <v>-112.519648</v>
      </c>
      <c r="C504" s="39" t="s">
        <v>543</v>
      </c>
      <c r="D504" s="36"/>
    </row>
    <row r="505" ht="14.25" customHeight="1">
      <c r="A505" s="38">
        <v>39.215444</v>
      </c>
      <c r="B505" s="38">
        <v>-112.495438</v>
      </c>
      <c r="C505" s="39" t="s">
        <v>544</v>
      </c>
      <c r="D505" s="36"/>
    </row>
    <row r="506" ht="14.25" customHeight="1">
      <c r="A506" s="38">
        <v>39.215644</v>
      </c>
      <c r="B506" s="38">
        <v>-112.471138</v>
      </c>
      <c r="C506" s="39" t="s">
        <v>545</v>
      </c>
      <c r="D506" s="36"/>
    </row>
    <row r="507" ht="14.25" customHeight="1">
      <c r="A507" s="38">
        <v>39.232564</v>
      </c>
      <c r="B507" s="38">
        <v>-112.616358</v>
      </c>
      <c r="C507" s="39" t="s">
        <v>546</v>
      </c>
      <c r="D507" s="36"/>
    </row>
    <row r="508" ht="14.25" customHeight="1">
      <c r="A508" s="38">
        <v>39.232474</v>
      </c>
      <c r="B508" s="38">
        <v>-112.592018</v>
      </c>
      <c r="C508" s="39" t="s">
        <v>547</v>
      </c>
      <c r="D508" s="36"/>
    </row>
    <row r="509" ht="14.25" customHeight="1">
      <c r="A509" s="38">
        <v>39.233594</v>
      </c>
      <c r="B509" s="38">
        <v>-112.567828</v>
      </c>
      <c r="C509" s="39" t="s">
        <v>548</v>
      </c>
      <c r="D509" s="36"/>
    </row>
    <row r="510" ht="14.25" customHeight="1">
      <c r="A510" s="38">
        <v>39.233664</v>
      </c>
      <c r="B510" s="38">
        <v>-112.544048</v>
      </c>
      <c r="C510" s="39" t="s">
        <v>549</v>
      </c>
      <c r="D510" s="36"/>
    </row>
    <row r="511" ht="14.25" customHeight="1">
      <c r="A511" s="38">
        <v>39.233344</v>
      </c>
      <c r="B511" s="38">
        <v>-112.520918</v>
      </c>
      <c r="C511" s="39" t="s">
        <v>550</v>
      </c>
      <c r="D511" s="36"/>
    </row>
    <row r="512" ht="14.25" customHeight="1">
      <c r="A512" s="38">
        <v>39.234344</v>
      </c>
      <c r="B512" s="38">
        <v>-112.495828</v>
      </c>
      <c r="C512" s="39" t="s">
        <v>551</v>
      </c>
      <c r="D512" s="36"/>
    </row>
    <row r="513" ht="14.25" customHeight="1">
      <c r="A513" s="38">
        <v>39.453774</v>
      </c>
      <c r="B513" s="38">
        <v>-112.863208</v>
      </c>
      <c r="C513" s="39" t="s">
        <v>552</v>
      </c>
      <c r="D513" s="36"/>
    </row>
    <row r="514" ht="14.25" customHeight="1">
      <c r="A514" s="38">
        <v>39.454154</v>
      </c>
      <c r="B514" s="38">
        <v>-112.839088</v>
      </c>
      <c r="C514" s="39" t="s">
        <v>553</v>
      </c>
      <c r="D514" s="36"/>
    </row>
    <row r="515" ht="14.25" customHeight="1">
      <c r="A515" s="38">
        <v>39.454524</v>
      </c>
      <c r="B515" s="38">
        <v>-112.814898</v>
      </c>
      <c r="C515" s="39" t="s">
        <v>554</v>
      </c>
      <c r="D515" s="36"/>
    </row>
    <row r="516" ht="14.25" customHeight="1">
      <c r="A516" s="38">
        <v>39.470884</v>
      </c>
      <c r="B516" s="38">
        <v>-112.960388</v>
      </c>
      <c r="C516" s="39" t="s">
        <v>555</v>
      </c>
      <c r="D516" s="36"/>
    </row>
    <row r="517" ht="14.25" customHeight="1">
      <c r="A517" s="38">
        <v>39.471304</v>
      </c>
      <c r="B517" s="38">
        <v>-112.936218</v>
      </c>
      <c r="C517" s="39" t="s">
        <v>556</v>
      </c>
      <c r="D517" s="36"/>
    </row>
    <row r="518" ht="14.25" customHeight="1">
      <c r="A518" s="38">
        <v>39.471538</v>
      </c>
      <c r="B518" s="38">
        <v>-112.911531</v>
      </c>
      <c r="C518" s="39" t="s">
        <v>557</v>
      </c>
      <c r="D518" s="36"/>
    </row>
    <row r="519" ht="14.25" customHeight="1">
      <c r="A519" s="38">
        <v>39.472094</v>
      </c>
      <c r="B519" s="38">
        <v>-112.887878</v>
      </c>
      <c r="C519" s="39" t="s">
        <v>558</v>
      </c>
      <c r="D519" s="36"/>
    </row>
    <row r="520" ht="14.25" customHeight="1">
      <c r="A520" s="38">
        <v>39.472094</v>
      </c>
      <c r="B520" s="38">
        <v>-112.863208</v>
      </c>
      <c r="C520" s="39" t="s">
        <v>559</v>
      </c>
      <c r="D520" s="36"/>
    </row>
    <row r="521" ht="14.25" customHeight="1">
      <c r="A521" s="38">
        <v>39.490604</v>
      </c>
      <c r="B521" s="38">
        <v>-112.957568</v>
      </c>
      <c r="C521" s="39" t="s">
        <v>560</v>
      </c>
      <c r="D521" s="36"/>
    </row>
    <row r="522" ht="14.25" customHeight="1">
      <c r="A522" s="38">
        <v>39.489824</v>
      </c>
      <c r="B522" s="38">
        <v>-112.937798</v>
      </c>
      <c r="C522" s="39" t="s">
        <v>561</v>
      </c>
      <c r="D522" s="36"/>
    </row>
    <row r="523" ht="14.25" customHeight="1">
      <c r="A523" s="38">
        <v>39.490594</v>
      </c>
      <c r="B523" s="38">
        <v>-112.912158</v>
      </c>
      <c r="C523" s="39" t="s">
        <v>562</v>
      </c>
      <c r="D523" s="36"/>
    </row>
    <row r="524" ht="14.25" customHeight="1">
      <c r="A524" s="38">
        <v>39.490824</v>
      </c>
      <c r="B524" s="38">
        <v>-112.888388</v>
      </c>
      <c r="C524" s="39" t="s">
        <v>563</v>
      </c>
      <c r="D524" s="36"/>
    </row>
    <row r="525" ht="14.25" customHeight="1">
      <c r="A525" s="38">
        <v>39.508764</v>
      </c>
      <c r="B525" s="38">
        <v>-112.937318</v>
      </c>
      <c r="C525" s="39" t="s">
        <v>564</v>
      </c>
      <c r="D525" s="36"/>
    </row>
    <row r="526" ht="14.25" customHeight="1">
      <c r="A526" s="38">
        <v>39.508574</v>
      </c>
      <c r="B526" s="38">
        <v>-112.913038</v>
      </c>
      <c r="C526" s="39" t="s">
        <v>565</v>
      </c>
      <c r="D526" s="36"/>
    </row>
    <row r="527" ht="14.25" customHeight="1">
      <c r="A527" s="38">
        <v>39.524324</v>
      </c>
      <c r="B527" s="38">
        <v>-112.933188</v>
      </c>
      <c r="C527" s="39" t="s">
        <v>566</v>
      </c>
      <c r="D527" s="36"/>
    </row>
    <row r="528" ht="14.25" customHeight="1">
      <c r="A528" s="38">
        <v>39.552544</v>
      </c>
      <c r="B528" s="38">
        <v>-112.647938</v>
      </c>
      <c r="C528" s="39" t="s">
        <v>567</v>
      </c>
      <c r="D528" s="36"/>
    </row>
    <row r="529" ht="14.25" customHeight="1">
      <c r="A529" s="38">
        <v>39.552944</v>
      </c>
      <c r="B529" s="38">
        <v>-112.624188</v>
      </c>
      <c r="C529" s="39" t="s">
        <v>568</v>
      </c>
      <c r="D529" s="36"/>
    </row>
    <row r="530" ht="14.25" customHeight="1">
      <c r="A530" s="38">
        <v>39.553294</v>
      </c>
      <c r="B530" s="38">
        <v>-112.599598</v>
      </c>
      <c r="C530" s="39" t="s">
        <v>569</v>
      </c>
      <c r="D530" s="36"/>
    </row>
    <row r="531" ht="14.25" customHeight="1">
      <c r="A531" s="38">
        <v>39.553274</v>
      </c>
      <c r="B531" s="38">
        <v>-112.572868</v>
      </c>
      <c r="C531" s="39" t="s">
        <v>570</v>
      </c>
      <c r="D531" s="36"/>
    </row>
    <row r="532" ht="14.25" customHeight="1">
      <c r="A532" s="38">
        <v>39.550974</v>
      </c>
      <c r="B532" s="38">
        <v>-112.551248</v>
      </c>
      <c r="C532" s="39" t="s">
        <v>571</v>
      </c>
      <c r="D532" s="36"/>
    </row>
    <row r="533" ht="14.25" customHeight="1">
      <c r="A533" s="38">
        <v>39.552344</v>
      </c>
      <c r="B533" s="38">
        <v>-112.527168</v>
      </c>
      <c r="C533" s="39" t="s">
        <v>572</v>
      </c>
      <c r="D533" s="36"/>
    </row>
    <row r="534" ht="14.25" customHeight="1">
      <c r="A534" s="38">
        <v>39.569444</v>
      </c>
      <c r="B534" s="38">
        <v>-112.648388</v>
      </c>
      <c r="C534" s="39" t="s">
        <v>573</v>
      </c>
      <c r="D534" s="36"/>
    </row>
    <row r="535" ht="14.25" customHeight="1">
      <c r="A535" s="38">
        <v>39.569794</v>
      </c>
      <c r="B535" s="38">
        <v>-112.624198</v>
      </c>
      <c r="C535" s="39" t="s">
        <v>574</v>
      </c>
      <c r="D535" s="36"/>
    </row>
    <row r="536" ht="14.25" customHeight="1">
      <c r="A536" s="38">
        <v>39.570104</v>
      </c>
      <c r="B536" s="38">
        <v>-112.599978</v>
      </c>
      <c r="C536" s="39" t="s">
        <v>575</v>
      </c>
      <c r="D536" s="36"/>
    </row>
    <row r="537" ht="14.25" customHeight="1">
      <c r="A537" s="38">
        <v>39.570164</v>
      </c>
      <c r="B537" s="38">
        <v>-112.575238</v>
      </c>
      <c r="C537" s="39" t="s">
        <v>576</v>
      </c>
      <c r="D537" s="36"/>
    </row>
    <row r="538" ht="14.25" customHeight="1">
      <c r="A538" s="38">
        <v>39.570804</v>
      </c>
      <c r="B538" s="38">
        <v>-112.551618</v>
      </c>
      <c r="C538" s="39" t="s">
        <v>577</v>
      </c>
      <c r="D538" s="36"/>
    </row>
    <row r="539" ht="14.25" customHeight="1">
      <c r="A539" s="38">
        <v>39.571124</v>
      </c>
      <c r="B539" s="38">
        <v>-112.527368</v>
      </c>
      <c r="C539" s="39" t="s">
        <v>578</v>
      </c>
      <c r="D539" s="36"/>
    </row>
    <row r="540" ht="14.25" customHeight="1">
      <c r="A540" s="38">
        <v>39.571424</v>
      </c>
      <c r="B540" s="38">
        <v>-112.503158</v>
      </c>
      <c r="C540" s="39" t="s">
        <v>579</v>
      </c>
      <c r="D540" s="36"/>
    </row>
    <row r="541" ht="14.25" customHeight="1">
      <c r="A541" s="38">
        <v>39.588134</v>
      </c>
      <c r="B541" s="38">
        <v>-112.647908</v>
      </c>
      <c r="C541" s="39" t="s">
        <v>580</v>
      </c>
      <c r="D541" s="36"/>
    </row>
    <row r="542" ht="14.25" customHeight="1">
      <c r="A542" s="38">
        <v>39.588464</v>
      </c>
      <c r="B542" s="38">
        <v>-112.624558</v>
      </c>
      <c r="C542" s="39" t="s">
        <v>581</v>
      </c>
      <c r="D542" s="36"/>
    </row>
    <row r="543" ht="14.25" customHeight="1">
      <c r="A543" s="38">
        <v>39.588864</v>
      </c>
      <c r="B543" s="38">
        <v>-112.600358</v>
      </c>
      <c r="C543" s="39" t="s">
        <v>582</v>
      </c>
      <c r="D543" s="36"/>
    </row>
    <row r="544" ht="14.25" customHeight="1">
      <c r="A544" s="38">
        <v>39.589174</v>
      </c>
      <c r="B544" s="38">
        <v>-112.576208</v>
      </c>
      <c r="C544" s="39" t="s">
        <v>583</v>
      </c>
      <c r="D544" s="36"/>
    </row>
    <row r="545" ht="14.25" customHeight="1">
      <c r="A545" s="38">
        <v>39.589534</v>
      </c>
      <c r="B545" s="38">
        <v>-112.551958</v>
      </c>
      <c r="C545" s="39" t="s">
        <v>584</v>
      </c>
      <c r="D545" s="36"/>
    </row>
    <row r="546" ht="14.25" customHeight="1">
      <c r="A546" s="38">
        <v>39.590054</v>
      </c>
      <c r="B546" s="38">
        <v>-112.540238</v>
      </c>
      <c r="C546" s="39" t="s">
        <v>585</v>
      </c>
      <c r="D546" s="36"/>
    </row>
    <row r="547" ht="14.25" customHeight="1">
      <c r="A547" s="38">
        <v>39.590384</v>
      </c>
      <c r="B547" s="38">
        <v>-112.502738</v>
      </c>
      <c r="C547" s="39" t="s">
        <v>586</v>
      </c>
      <c r="D547" s="36"/>
    </row>
    <row r="548" ht="14.25" customHeight="1">
      <c r="A548" s="38">
        <v>39.590464</v>
      </c>
      <c r="B548" s="38">
        <v>-112.479338</v>
      </c>
      <c r="C548" s="39" t="s">
        <v>587</v>
      </c>
      <c r="D548" s="36"/>
    </row>
    <row r="549" ht="14.25" customHeight="1">
      <c r="A549" s="38">
        <v>39.607151</v>
      </c>
      <c r="B549" s="38">
        <v>-112.649916</v>
      </c>
      <c r="C549" s="39" t="s">
        <v>588</v>
      </c>
      <c r="D549" s="36"/>
    </row>
    <row r="550" ht="14.25" customHeight="1">
      <c r="A550" s="38">
        <v>39.607174</v>
      </c>
      <c r="B550" s="38">
        <v>-112.624808</v>
      </c>
      <c r="C550" s="39" t="s">
        <v>589</v>
      </c>
      <c r="D550" s="36"/>
    </row>
    <row r="551" ht="14.25" customHeight="1">
      <c r="A551" s="38">
        <v>39.607574</v>
      </c>
      <c r="B551" s="38">
        <v>-112.600068</v>
      </c>
      <c r="C551" s="39" t="s">
        <v>590</v>
      </c>
      <c r="D551" s="36"/>
    </row>
    <row r="552" ht="14.25" customHeight="1">
      <c r="A552" s="38">
        <v>39.608284</v>
      </c>
      <c r="B552" s="38">
        <v>-112.577118</v>
      </c>
      <c r="C552" s="39" t="s">
        <v>591</v>
      </c>
      <c r="D552" s="36"/>
    </row>
    <row r="553" ht="14.25" customHeight="1">
      <c r="A553" s="38">
        <v>39.608724</v>
      </c>
      <c r="B553" s="38">
        <v>-112.552978</v>
      </c>
      <c r="C553" s="39" t="s">
        <v>592</v>
      </c>
      <c r="D553" s="36"/>
    </row>
    <row r="554" ht="14.25" customHeight="1">
      <c r="A554" s="38">
        <v>39.611324</v>
      </c>
      <c r="B554" s="38">
        <v>-112.532948</v>
      </c>
      <c r="C554" s="39" t="s">
        <v>593</v>
      </c>
      <c r="D554" s="36"/>
    </row>
    <row r="555" ht="14.25" customHeight="1">
      <c r="A555" s="38">
        <v>39.612184</v>
      </c>
      <c r="B555" s="38">
        <v>-112.504748</v>
      </c>
      <c r="C555" s="39" t="s">
        <v>594</v>
      </c>
      <c r="D555" s="36"/>
    </row>
    <row r="556" ht="14.25" customHeight="1">
      <c r="A556" s="38">
        <v>39.611894</v>
      </c>
      <c r="B556" s="38">
        <v>-112.479778</v>
      </c>
      <c r="C556" s="39" t="s">
        <v>595</v>
      </c>
      <c r="D556" s="36"/>
    </row>
    <row r="557" ht="14.25" customHeight="1">
      <c r="A557" s="38">
        <v>39.626634</v>
      </c>
      <c r="B557" s="38">
        <v>-112.649728</v>
      </c>
      <c r="C557" s="39" t="s">
        <v>596</v>
      </c>
      <c r="D557" s="36"/>
    </row>
    <row r="558" ht="14.25" customHeight="1">
      <c r="A558" s="38">
        <v>39.624484</v>
      </c>
      <c r="B558" s="38">
        <v>-112.621518</v>
      </c>
      <c r="C558" s="39" t="s">
        <v>597</v>
      </c>
      <c r="D558" s="36"/>
    </row>
    <row r="559" ht="14.25" customHeight="1">
      <c r="A559" s="38">
        <v>39.626334</v>
      </c>
      <c r="B559" s="38">
        <v>-112.601258</v>
      </c>
      <c r="C559" s="39" t="s">
        <v>598</v>
      </c>
      <c r="D559" s="36"/>
    </row>
    <row r="560" ht="14.25" customHeight="1">
      <c r="A560" s="38">
        <v>39.626814</v>
      </c>
      <c r="B560" s="38">
        <v>-112.577098</v>
      </c>
      <c r="C560" s="39" t="s">
        <v>599</v>
      </c>
      <c r="D560" s="36"/>
    </row>
    <row r="561" ht="14.25" customHeight="1">
      <c r="A561" s="38">
        <v>39.627004</v>
      </c>
      <c r="B561" s="38">
        <v>-112.552948</v>
      </c>
      <c r="C561" s="39" t="s">
        <v>600</v>
      </c>
      <c r="D561" s="36"/>
    </row>
    <row r="562" ht="14.25" customHeight="1">
      <c r="A562" s="38">
        <v>39.627324</v>
      </c>
      <c r="B562" s="38">
        <v>-112.528448</v>
      </c>
      <c r="C562" s="39" t="s">
        <v>601</v>
      </c>
      <c r="D562" s="36"/>
    </row>
    <row r="563" ht="14.25" customHeight="1">
      <c r="A563" s="38">
        <v>39.627604</v>
      </c>
      <c r="B563" s="38">
        <v>-112.504348</v>
      </c>
      <c r="C563" s="39" t="s">
        <v>602</v>
      </c>
      <c r="D563" s="36"/>
    </row>
    <row r="564" ht="14.25" customHeight="1">
      <c r="A564" s="38">
        <v>39.627894</v>
      </c>
      <c r="B564" s="38">
        <v>-112.480598</v>
      </c>
      <c r="C564" s="39" t="s">
        <v>603</v>
      </c>
      <c r="D564" s="36"/>
    </row>
    <row r="565" ht="14.25" customHeight="1">
      <c r="A565" s="38">
        <v>39.644034</v>
      </c>
      <c r="B565" s="38">
        <v>-112.674398</v>
      </c>
      <c r="C565" s="39" t="s">
        <v>604</v>
      </c>
      <c r="D565" s="36"/>
    </row>
    <row r="566" ht="14.25" customHeight="1">
      <c r="A566" s="38">
        <v>39.644374</v>
      </c>
      <c r="B566" s="38">
        <v>-112.650138</v>
      </c>
      <c r="C566" s="39" t="s">
        <v>605</v>
      </c>
      <c r="D566" s="36"/>
    </row>
    <row r="567" ht="14.25" customHeight="1">
      <c r="A567" s="38">
        <v>39.644714</v>
      </c>
      <c r="B567" s="38">
        <v>-112.625908</v>
      </c>
      <c r="C567" s="39" t="s">
        <v>606</v>
      </c>
      <c r="D567" s="36"/>
    </row>
    <row r="568" ht="14.25" customHeight="1">
      <c r="A568" s="38">
        <v>39.645174</v>
      </c>
      <c r="B568" s="38">
        <v>-112.601678</v>
      </c>
      <c r="C568" s="39" t="s">
        <v>607</v>
      </c>
      <c r="D568" s="36"/>
    </row>
    <row r="569" ht="14.25" customHeight="1">
      <c r="A569" s="38">
        <v>39.645494</v>
      </c>
      <c r="B569" s="38">
        <v>-112.573958</v>
      </c>
      <c r="C569" s="39" t="s">
        <v>608</v>
      </c>
      <c r="D569" s="36"/>
    </row>
    <row r="570" ht="14.25" customHeight="1">
      <c r="A570" s="38">
        <v>39.64483</v>
      </c>
      <c r="B570" s="38">
        <v>-112.552698</v>
      </c>
      <c r="C570" s="39" t="s">
        <v>609</v>
      </c>
      <c r="D570" s="36"/>
    </row>
    <row r="571" ht="14.25" customHeight="1">
      <c r="A571" s="38">
        <v>39.646079</v>
      </c>
      <c r="B571" s="38">
        <v>-112.52824</v>
      </c>
      <c r="C571" s="39" t="s">
        <v>610</v>
      </c>
      <c r="D571" s="36"/>
    </row>
    <row r="572" ht="14.25" customHeight="1">
      <c r="A572" s="38">
        <v>39.646714</v>
      </c>
      <c r="B572" s="38">
        <v>-112.504888</v>
      </c>
      <c r="C572" s="39" t="s">
        <v>611</v>
      </c>
      <c r="D572" s="36"/>
    </row>
    <row r="573" ht="14.25" customHeight="1">
      <c r="A573" s="38">
        <v>39.646664</v>
      </c>
      <c r="B573" s="38">
        <v>-112.482258</v>
      </c>
      <c r="C573" s="39" t="s">
        <v>612</v>
      </c>
      <c r="D573" s="36"/>
    </row>
    <row r="574" ht="14.25" customHeight="1">
      <c r="A574" s="38">
        <v>39.662814</v>
      </c>
      <c r="B574" s="38">
        <v>-112.674768</v>
      </c>
      <c r="C574" s="39" t="s">
        <v>613</v>
      </c>
      <c r="D574" s="36"/>
    </row>
    <row r="575" ht="14.25" customHeight="1">
      <c r="A575" s="38">
        <v>39.663364</v>
      </c>
      <c r="B575" s="38">
        <v>-112.651178</v>
      </c>
      <c r="C575" s="39" t="s">
        <v>614</v>
      </c>
      <c r="D575" s="36"/>
    </row>
    <row r="576" ht="14.25" customHeight="1">
      <c r="A576" s="38">
        <v>39.663564</v>
      </c>
      <c r="B576" s="38">
        <v>-112.626678</v>
      </c>
      <c r="C576" s="39" t="s">
        <v>615</v>
      </c>
      <c r="D576" s="36"/>
    </row>
    <row r="577" ht="14.25" customHeight="1">
      <c r="A577" s="38">
        <v>39.663784</v>
      </c>
      <c r="B577" s="38">
        <v>-112.602138</v>
      </c>
      <c r="C577" s="39" t="s">
        <v>616</v>
      </c>
      <c r="D577" s="36"/>
    </row>
    <row r="578" ht="14.25" customHeight="1">
      <c r="A578" s="38">
        <v>39.664134</v>
      </c>
      <c r="B578" s="38">
        <v>-112.577888</v>
      </c>
      <c r="C578" s="39" t="s">
        <v>617</v>
      </c>
      <c r="D578" s="36"/>
    </row>
    <row r="579" ht="14.25" customHeight="1">
      <c r="A579" s="38">
        <v>39.664444</v>
      </c>
      <c r="B579" s="38">
        <v>-112.553648</v>
      </c>
      <c r="C579" s="39" t="s">
        <v>618</v>
      </c>
      <c r="D579" s="36"/>
    </row>
    <row r="580" ht="14.25" customHeight="1">
      <c r="A580" s="38">
        <v>39.664764</v>
      </c>
      <c r="B580" s="38">
        <v>-112.529408</v>
      </c>
      <c r="C580" s="39" t="s">
        <v>619</v>
      </c>
      <c r="D580" s="36"/>
    </row>
    <row r="581" ht="14.25" customHeight="1">
      <c r="A581" s="38">
        <v>39.665094</v>
      </c>
      <c r="B581" s="38">
        <v>-112.505168</v>
      </c>
      <c r="C581" s="39" t="s">
        <v>620</v>
      </c>
      <c r="D581" s="36"/>
    </row>
    <row r="582" ht="14.25" customHeight="1">
      <c r="A582" s="38">
        <v>39.66541</v>
      </c>
      <c r="B582" s="38">
        <v>-112.48094</v>
      </c>
      <c r="C582" s="39" t="s">
        <v>621</v>
      </c>
      <c r="D582" s="36"/>
    </row>
    <row r="583" ht="14.25" customHeight="1">
      <c r="A583" s="38">
        <v>39.681124</v>
      </c>
      <c r="B583" s="38">
        <v>-112.699538</v>
      </c>
      <c r="C583" s="39" t="s">
        <v>622</v>
      </c>
      <c r="D583" s="36"/>
    </row>
    <row r="584" ht="14.25" customHeight="1">
      <c r="A584" s="38">
        <v>39.681514</v>
      </c>
      <c r="B584" s="38">
        <v>-112.675338</v>
      </c>
      <c r="C584" s="39" t="s">
        <v>623</v>
      </c>
      <c r="D584" s="36"/>
    </row>
    <row r="585" ht="14.25" customHeight="1">
      <c r="A585" s="38">
        <v>39.681844</v>
      </c>
      <c r="B585" s="38">
        <v>-112.651068</v>
      </c>
      <c r="C585" s="39" t="s">
        <v>624</v>
      </c>
      <c r="D585" s="36"/>
    </row>
    <row r="586" ht="14.25" customHeight="1">
      <c r="A586" s="38">
        <v>39.682194</v>
      </c>
      <c r="B586" s="38">
        <v>-112.626798</v>
      </c>
      <c r="C586" s="39" t="s">
        <v>625</v>
      </c>
      <c r="D586" s="36"/>
    </row>
    <row r="587" ht="14.25" customHeight="1">
      <c r="A587" s="38">
        <v>39.682524</v>
      </c>
      <c r="B587" s="38">
        <v>-112.602568</v>
      </c>
      <c r="C587" s="39" t="s">
        <v>626</v>
      </c>
      <c r="D587" s="36"/>
    </row>
    <row r="588" ht="14.25" customHeight="1">
      <c r="A588" s="38">
        <v>39.682834</v>
      </c>
      <c r="B588" s="38">
        <v>-112.578288</v>
      </c>
      <c r="C588" s="39" t="s">
        <v>627</v>
      </c>
      <c r="D588" s="36"/>
    </row>
    <row r="589" ht="14.25" customHeight="1">
      <c r="A589" s="38">
        <v>39.683204</v>
      </c>
      <c r="B589" s="38">
        <v>-112.553998</v>
      </c>
      <c r="C589" s="39" t="s">
        <v>628</v>
      </c>
      <c r="D589" s="36"/>
    </row>
    <row r="590" ht="14.25" customHeight="1">
      <c r="A590" s="38">
        <v>39.683093</v>
      </c>
      <c r="B590" s="38">
        <v>-112.529799</v>
      </c>
      <c r="C590" s="39" t="s">
        <v>629</v>
      </c>
      <c r="D590" s="36"/>
    </row>
    <row r="591" ht="14.25" customHeight="1">
      <c r="A591" s="38">
        <v>39.683864</v>
      </c>
      <c r="B591" s="38">
        <v>-112.505628</v>
      </c>
      <c r="C591" s="39" t="s">
        <v>630</v>
      </c>
      <c r="D591" s="36"/>
    </row>
    <row r="592" ht="14.25" customHeight="1">
      <c r="A592" s="38">
        <v>39.68414</v>
      </c>
      <c r="B592" s="38">
        <v>-112.48134</v>
      </c>
      <c r="C592" s="39" t="s">
        <v>631</v>
      </c>
      <c r="D592" s="36"/>
    </row>
    <row r="593" ht="14.25" customHeight="1">
      <c r="A593" s="38">
        <v>39.694684</v>
      </c>
      <c r="B593" s="38">
        <v>-112.918208</v>
      </c>
      <c r="C593" s="39" t="s">
        <v>632</v>
      </c>
      <c r="D593" s="36"/>
    </row>
    <row r="594" ht="14.25" customHeight="1">
      <c r="A594" s="38">
        <v>39.733331</v>
      </c>
      <c r="B594" s="38">
        <v>-112.849331</v>
      </c>
      <c r="C594" s="39" t="s">
        <v>633</v>
      </c>
      <c r="D594" s="36"/>
    </row>
    <row r="595" ht="14.25" customHeight="1">
      <c r="A595" s="38">
        <v>39.717964</v>
      </c>
      <c r="B595" s="38">
        <v>-112.748928</v>
      </c>
      <c r="C595" s="39" t="s">
        <v>634</v>
      </c>
      <c r="D595" s="36"/>
    </row>
    <row r="596" ht="14.25" customHeight="1">
      <c r="A596" s="38">
        <v>39.717493</v>
      </c>
      <c r="B596" s="38">
        <v>-112.723119</v>
      </c>
      <c r="C596" s="39" t="s">
        <v>635</v>
      </c>
      <c r="D596" s="36"/>
    </row>
    <row r="597" ht="14.25" customHeight="1">
      <c r="A597" s="38">
        <v>39.718714</v>
      </c>
      <c r="B597" s="38">
        <v>-112.700468</v>
      </c>
      <c r="C597" s="39" t="s">
        <v>636</v>
      </c>
      <c r="D597" s="36"/>
    </row>
    <row r="598" ht="14.25" customHeight="1">
      <c r="A598" s="38">
        <v>39.718894</v>
      </c>
      <c r="B598" s="38">
        <v>-112.676248</v>
      </c>
      <c r="C598" s="39" t="s">
        <v>637</v>
      </c>
      <c r="D598" s="36"/>
    </row>
    <row r="599" ht="14.25" customHeight="1">
      <c r="A599" s="38">
        <v>39.719344</v>
      </c>
      <c r="B599" s="38">
        <v>-112.651938</v>
      </c>
      <c r="C599" s="39" t="s">
        <v>638</v>
      </c>
      <c r="D599" s="36"/>
    </row>
    <row r="600" ht="14.25" customHeight="1">
      <c r="A600" s="38">
        <v>39.719804</v>
      </c>
      <c r="B600" s="38">
        <v>-112.627208</v>
      </c>
      <c r="C600" s="39" t="s">
        <v>639</v>
      </c>
      <c r="D600" s="36"/>
    </row>
    <row r="601" ht="14.25" customHeight="1">
      <c r="A601" s="38">
        <v>39.720014</v>
      </c>
      <c r="B601" s="38">
        <v>-112.603418</v>
      </c>
      <c r="C601" s="39" t="s">
        <v>640</v>
      </c>
      <c r="D601" s="36"/>
    </row>
    <row r="602" ht="14.25" customHeight="1">
      <c r="A602" s="38">
        <v>39.734924</v>
      </c>
      <c r="B602" s="38">
        <v>-112.868948</v>
      </c>
      <c r="C602" s="39" t="s">
        <v>641</v>
      </c>
      <c r="D602" s="36"/>
    </row>
    <row r="603" ht="14.25" customHeight="1">
      <c r="A603" s="38">
        <v>39.699524</v>
      </c>
      <c r="B603" s="38">
        <v>-112.724228</v>
      </c>
      <c r="C603" s="39" t="s">
        <v>642</v>
      </c>
      <c r="D603" s="36"/>
    </row>
    <row r="604" ht="14.25" customHeight="1">
      <c r="A604" s="38">
        <v>39.699874</v>
      </c>
      <c r="B604" s="38">
        <v>-112.700008</v>
      </c>
      <c r="C604" s="39" t="s">
        <v>643</v>
      </c>
      <c r="D604" s="36"/>
    </row>
    <row r="605" ht="14.25" customHeight="1">
      <c r="A605" s="38">
        <v>39.700234</v>
      </c>
      <c r="B605" s="38">
        <v>-112.675748</v>
      </c>
      <c r="C605" s="39" t="s">
        <v>644</v>
      </c>
      <c r="D605" s="36"/>
    </row>
    <row r="606" ht="14.25" customHeight="1">
      <c r="A606" s="38">
        <v>39.700574</v>
      </c>
      <c r="B606" s="38">
        <v>-112.651488</v>
      </c>
      <c r="C606" s="39" t="s">
        <v>645</v>
      </c>
      <c r="D606" s="36"/>
    </row>
    <row r="607" ht="14.25" customHeight="1">
      <c r="A607" s="38">
        <v>39.700924</v>
      </c>
      <c r="B607" s="38">
        <v>-112.627248</v>
      </c>
      <c r="C607" s="39" t="s">
        <v>646</v>
      </c>
      <c r="D607" s="36"/>
    </row>
    <row r="608" ht="14.25" customHeight="1">
      <c r="A608" s="38">
        <v>39.701304</v>
      </c>
      <c r="B608" s="38">
        <v>-112.602978</v>
      </c>
      <c r="C608" s="39" t="s">
        <v>647</v>
      </c>
      <c r="D608" s="36"/>
    </row>
    <row r="609" ht="14.25" customHeight="1">
      <c r="A609" s="38">
        <v>39.701594</v>
      </c>
      <c r="B609" s="38">
        <v>-112.578758</v>
      </c>
      <c r="C609" s="39" t="s">
        <v>648</v>
      </c>
      <c r="D609" s="36"/>
    </row>
    <row r="610" ht="14.25" customHeight="1">
      <c r="A610" s="38">
        <v>39.701914</v>
      </c>
      <c r="B610" s="38">
        <v>-112.554318</v>
      </c>
      <c r="C610" s="39" t="s">
        <v>649</v>
      </c>
      <c r="D610" s="36"/>
    </row>
    <row r="611" ht="14.25" customHeight="1">
      <c r="A611" s="38">
        <v>39.702294</v>
      </c>
      <c r="B611" s="38">
        <v>-112.530168</v>
      </c>
      <c r="C611" s="39" t="s">
        <v>650</v>
      </c>
      <c r="D611" s="36"/>
    </row>
    <row r="612" ht="14.25" customHeight="1">
      <c r="A612" s="38">
        <v>39.70257</v>
      </c>
      <c r="B612" s="38">
        <v>-112.50599</v>
      </c>
      <c r="C612" s="39" t="s">
        <v>651</v>
      </c>
      <c r="D612" s="36"/>
    </row>
    <row r="613" ht="14.25" customHeight="1">
      <c r="A613" s="38">
        <v>39.71562</v>
      </c>
      <c r="B613" s="38">
        <v>-112.89452</v>
      </c>
      <c r="C613" s="39" t="s">
        <v>652</v>
      </c>
      <c r="D613" s="36"/>
    </row>
    <row r="614" ht="14.25" customHeight="1">
      <c r="A614" s="38">
        <v>39.736234</v>
      </c>
      <c r="B614" s="38">
        <v>-112.773688</v>
      </c>
      <c r="C614" s="39" t="s">
        <v>653</v>
      </c>
      <c r="D614" s="36"/>
    </row>
    <row r="615" ht="14.25" customHeight="1">
      <c r="A615" s="38">
        <v>39.736704</v>
      </c>
      <c r="B615" s="38">
        <v>-112.749398</v>
      </c>
      <c r="C615" s="39" t="s">
        <v>654</v>
      </c>
      <c r="D615" s="36"/>
    </row>
    <row r="616" ht="14.25" customHeight="1">
      <c r="A616" s="38">
        <v>39.737004</v>
      </c>
      <c r="B616" s="38">
        <v>-112.725188</v>
      </c>
      <c r="C616" s="39" t="s">
        <v>655</v>
      </c>
      <c r="D616" s="36"/>
    </row>
    <row r="617" ht="14.25" customHeight="1">
      <c r="A617" s="38">
        <v>39.737364</v>
      </c>
      <c r="B617" s="38">
        <v>-112.700908</v>
      </c>
      <c r="C617" s="39" t="s">
        <v>656</v>
      </c>
      <c r="D617" s="36"/>
    </row>
    <row r="618" ht="14.25" customHeight="1">
      <c r="A618" s="38">
        <v>39.737734</v>
      </c>
      <c r="B618" s="38">
        <v>-112.676678</v>
      </c>
      <c r="C618" s="39" t="s">
        <v>657</v>
      </c>
      <c r="D618" s="36"/>
    </row>
    <row r="619" ht="14.25" customHeight="1">
      <c r="A619" s="38">
        <v>39.738064</v>
      </c>
      <c r="B619" s="38">
        <v>-112.652418</v>
      </c>
      <c r="C619" s="39" t="s">
        <v>658</v>
      </c>
      <c r="D619" s="36"/>
    </row>
    <row r="620" ht="14.25" customHeight="1">
      <c r="A620" s="38">
        <v>39.738344</v>
      </c>
      <c r="B620" s="38">
        <v>-112.628418</v>
      </c>
      <c r="C620" s="39" t="s">
        <v>659</v>
      </c>
      <c r="D620" s="36"/>
    </row>
    <row r="621" ht="14.25" customHeight="1">
      <c r="A621" s="38">
        <v>39.755054</v>
      </c>
      <c r="B621" s="38">
        <v>-112.774398</v>
      </c>
      <c r="C621" s="39" t="s">
        <v>660</v>
      </c>
      <c r="D621" s="36"/>
    </row>
    <row r="622" ht="14.25" customHeight="1">
      <c r="A622" s="38">
        <v>39.755094</v>
      </c>
      <c r="B622" s="38">
        <v>-112.749878</v>
      </c>
      <c r="C622" s="39" t="s">
        <v>661</v>
      </c>
      <c r="D622" s="36"/>
    </row>
    <row r="623" ht="14.25" customHeight="1">
      <c r="A623" s="38">
        <v>39.756714</v>
      </c>
      <c r="B623" s="38">
        <v>-112.725658</v>
      </c>
      <c r="C623" s="39" t="s">
        <v>662</v>
      </c>
      <c r="D623" s="36"/>
    </row>
    <row r="624" ht="14.25" customHeight="1">
      <c r="A624" s="38">
        <v>39.756044</v>
      </c>
      <c r="B624" s="38">
        <v>-112.701438</v>
      </c>
      <c r="C624" s="39" t="s">
        <v>663</v>
      </c>
      <c r="D624" s="36"/>
    </row>
    <row r="625" ht="14.25" customHeight="1">
      <c r="A625" s="38">
        <v>39.756424</v>
      </c>
      <c r="B625" s="38">
        <v>-112.677068</v>
      </c>
      <c r="C625" s="39" t="s">
        <v>664</v>
      </c>
      <c r="D625" s="36"/>
    </row>
    <row r="626" ht="14.25" customHeight="1">
      <c r="A626" s="38">
        <v>39.770495</v>
      </c>
      <c r="B626" s="38">
        <v>-112.750319</v>
      </c>
      <c r="C626" s="39" t="s">
        <v>665</v>
      </c>
      <c r="D626" s="36"/>
    </row>
    <row r="627" ht="14.25" customHeight="1">
      <c r="A627" s="38">
        <v>39.774461</v>
      </c>
      <c r="B627" s="38">
        <v>-112.726134</v>
      </c>
      <c r="C627" s="39" t="s">
        <v>666</v>
      </c>
      <c r="D627" s="36"/>
    </row>
    <row r="628" ht="14.25" customHeight="1">
      <c r="A628" s="38">
        <v>39.77482</v>
      </c>
      <c r="B628" s="38">
        <v>-112.701857</v>
      </c>
      <c r="C628" s="39" t="s">
        <v>667</v>
      </c>
      <c r="D628" s="36"/>
    </row>
    <row r="629" ht="14.25" customHeight="1">
      <c r="A629" s="38">
        <v>39.421572</v>
      </c>
      <c r="B629" s="38">
        <v>-112.966894</v>
      </c>
      <c r="C629" s="39" t="s">
        <v>668</v>
      </c>
      <c r="D629" s="36"/>
    </row>
    <row r="630" ht="14.25" customHeight="1">
      <c r="A630" s="38">
        <v>39.420816</v>
      </c>
      <c r="B630" s="38">
        <v>-112.955155</v>
      </c>
      <c r="C630" s="39" t="s">
        <v>669</v>
      </c>
      <c r="D630" s="36"/>
    </row>
    <row r="631" ht="14.25" customHeight="1">
      <c r="A631" s="38">
        <v>39.431913</v>
      </c>
      <c r="B631" s="38">
        <v>-112.944658</v>
      </c>
      <c r="C631" s="39" t="s">
        <v>670</v>
      </c>
      <c r="D631" s="36"/>
    </row>
    <row r="632" ht="14.25" customHeight="1">
      <c r="A632" s="38">
        <v>39.453578</v>
      </c>
      <c r="B632" s="38">
        <v>-112.926551</v>
      </c>
      <c r="C632" s="39" t="s">
        <v>671</v>
      </c>
      <c r="D632" s="36"/>
    </row>
    <row r="633" ht="14.25" customHeight="1">
      <c r="A633" s="38">
        <v>39.459809</v>
      </c>
      <c r="B633" s="38">
        <v>-113.001828</v>
      </c>
      <c r="C633" s="39" t="s">
        <v>672</v>
      </c>
      <c r="D633" s="36"/>
    </row>
    <row r="634" ht="14.25" customHeight="1">
      <c r="A634" s="38">
        <v>39.458907</v>
      </c>
      <c r="B634" s="38">
        <v>-112.997066</v>
      </c>
      <c r="C634" s="39" t="s">
        <v>673</v>
      </c>
      <c r="D634" s="36"/>
    </row>
    <row r="635" ht="14.25" customHeight="1">
      <c r="A635" s="38">
        <v>39.458673</v>
      </c>
      <c r="B635" s="38">
        <v>-112.992349</v>
      </c>
      <c r="C635" s="39" t="s">
        <v>674</v>
      </c>
      <c r="D635" s="36"/>
    </row>
    <row r="636" ht="14.25" customHeight="1">
      <c r="A636" s="38">
        <v>39.458588</v>
      </c>
      <c r="B636" s="38">
        <v>-112.988025</v>
      </c>
      <c r="C636" s="39" t="s">
        <v>675</v>
      </c>
      <c r="D636" s="36"/>
    </row>
    <row r="637" ht="14.25" customHeight="1">
      <c r="A637" s="38">
        <v>39.461259</v>
      </c>
      <c r="B637" s="38">
        <v>-112.98321</v>
      </c>
      <c r="C637" s="39" t="s">
        <v>676</v>
      </c>
      <c r="D637" s="36"/>
    </row>
    <row r="638" ht="14.25" customHeight="1">
      <c r="A638" s="38">
        <v>39.463754</v>
      </c>
      <c r="B638" s="38">
        <v>-112.979717</v>
      </c>
      <c r="C638" s="39" t="s">
        <v>677</v>
      </c>
      <c r="D638" s="36"/>
    </row>
    <row r="639" ht="14.25" customHeight="1">
      <c r="A639" s="38">
        <v>39.466973</v>
      </c>
      <c r="B639" s="38">
        <v>-112.977096</v>
      </c>
      <c r="C639" s="39" t="s">
        <v>678</v>
      </c>
      <c r="D639" s="36"/>
    </row>
    <row r="640" ht="14.25" customHeight="1">
      <c r="A640" s="38">
        <v>39.457065</v>
      </c>
      <c r="B640" s="38">
        <v>-113.004734</v>
      </c>
      <c r="C640" s="39" t="s">
        <v>679</v>
      </c>
      <c r="D640" s="36"/>
    </row>
    <row r="641" ht="14.25" customHeight="1">
      <c r="A641" s="38">
        <v>39.455611</v>
      </c>
      <c r="B641" s="38">
        <v>-113.000265</v>
      </c>
      <c r="C641" s="39" t="s">
        <v>680</v>
      </c>
      <c r="D641" s="36"/>
    </row>
    <row r="642" ht="14.25" customHeight="1">
      <c r="A642" s="38">
        <v>39.454976</v>
      </c>
      <c r="B642" s="38">
        <v>-112.995493</v>
      </c>
      <c r="C642" s="39" t="s">
        <v>681</v>
      </c>
      <c r="D642" s="36"/>
    </row>
    <row r="643" ht="14.25" customHeight="1">
      <c r="A643" s="38">
        <v>39.454555</v>
      </c>
      <c r="B643" s="38">
        <v>-112.990509</v>
      </c>
      <c r="C643" s="39" t="s">
        <v>682</v>
      </c>
      <c r="D643" s="36"/>
    </row>
    <row r="644" ht="14.25" customHeight="1">
      <c r="A644" s="38">
        <v>39.455659</v>
      </c>
      <c r="B644" s="38">
        <v>-112.985687</v>
      </c>
      <c r="C644" s="39" t="s">
        <v>683</v>
      </c>
      <c r="D644" s="36"/>
    </row>
    <row r="645" ht="14.25" customHeight="1">
      <c r="A645" s="38">
        <v>39.457564</v>
      </c>
      <c r="B645" s="38">
        <v>-112.981554</v>
      </c>
      <c r="C645" s="39" t="s">
        <v>684</v>
      </c>
      <c r="D645" s="36"/>
    </row>
    <row r="646" ht="14.25" customHeight="1">
      <c r="A646" s="38">
        <v>39.459857</v>
      </c>
      <c r="B646" s="38">
        <v>-112.977709</v>
      </c>
      <c r="C646" s="39" t="s">
        <v>685</v>
      </c>
      <c r="D646" s="36"/>
    </row>
    <row r="647" ht="14.25" customHeight="1">
      <c r="A647" s="38">
        <v>39.462934</v>
      </c>
      <c r="B647" s="38">
        <v>-112.974146</v>
      </c>
      <c r="C647" s="39" t="s">
        <v>686</v>
      </c>
      <c r="D647" s="36"/>
    </row>
    <row r="648" ht="14.25" customHeight="1">
      <c r="A648" s="38">
        <v>39.466071</v>
      </c>
      <c r="B648" s="38">
        <v>-112.972302</v>
      </c>
      <c r="C648" s="39" t="s">
        <v>687</v>
      </c>
      <c r="D648" s="36"/>
    </row>
    <row r="649" ht="14.25" customHeight="1">
      <c r="A649" s="38">
        <v>39.454056</v>
      </c>
      <c r="B649" s="38">
        <v>-113.00779</v>
      </c>
      <c r="C649" s="39" t="s">
        <v>688</v>
      </c>
      <c r="D649" s="36"/>
    </row>
    <row r="650" ht="14.25" customHeight="1">
      <c r="A650" s="38">
        <v>39.452925</v>
      </c>
      <c r="B650" s="38">
        <v>-113.00336</v>
      </c>
      <c r="C650" s="39" t="s">
        <v>689</v>
      </c>
      <c r="D650" s="36"/>
    </row>
    <row r="651" ht="14.25" customHeight="1">
      <c r="A651" s="38">
        <v>39.451664</v>
      </c>
      <c r="B651" s="38">
        <v>-112.999453</v>
      </c>
      <c r="C651" s="39" t="s">
        <v>690</v>
      </c>
      <c r="D651" s="36"/>
    </row>
    <row r="652" ht="14.25" customHeight="1">
      <c r="A652" s="38">
        <v>39.451132</v>
      </c>
      <c r="B652" s="38">
        <v>-112.993923</v>
      </c>
      <c r="C652" s="39" t="s">
        <v>691</v>
      </c>
      <c r="D652" s="36"/>
    </row>
    <row r="653" ht="14.25" customHeight="1">
      <c r="A653" s="38">
        <v>39.452092</v>
      </c>
      <c r="B653" s="38">
        <v>-112.98845</v>
      </c>
      <c r="C653" s="39" t="s">
        <v>692</v>
      </c>
      <c r="D653" s="36"/>
    </row>
    <row r="654" ht="14.25" customHeight="1">
      <c r="A654" s="38">
        <v>39.452475</v>
      </c>
      <c r="B654" s="38">
        <v>-112.98441</v>
      </c>
      <c r="C654" s="39" t="s">
        <v>693</v>
      </c>
      <c r="D654" s="36"/>
    </row>
    <row r="655" ht="14.25" customHeight="1">
      <c r="A655" s="38">
        <v>39.453924</v>
      </c>
      <c r="B655" s="38">
        <v>-112.979979</v>
      </c>
      <c r="C655" s="39" t="s">
        <v>694</v>
      </c>
      <c r="D655" s="36"/>
    </row>
    <row r="656" ht="14.25" customHeight="1">
      <c r="A656" s="38">
        <v>39.456154</v>
      </c>
      <c r="B656" s="38">
        <v>-112.975816</v>
      </c>
      <c r="C656" s="39" t="s">
        <v>695</v>
      </c>
      <c r="D656" s="36"/>
    </row>
    <row r="657" ht="14.25" customHeight="1">
      <c r="A657" s="38">
        <v>39.458726</v>
      </c>
      <c r="B657" s="38">
        <v>-112.972443</v>
      </c>
      <c r="C657" s="39" t="s">
        <v>696</v>
      </c>
      <c r="D657" s="36"/>
    </row>
    <row r="658" ht="14.25" customHeight="1">
      <c r="A658" s="38">
        <v>39.461906</v>
      </c>
      <c r="B658" s="38">
        <v>-112.969513</v>
      </c>
      <c r="C658" s="39" t="s">
        <v>697</v>
      </c>
      <c r="D658" s="36"/>
    </row>
    <row r="659" ht="14.25" customHeight="1">
      <c r="A659" s="38">
        <v>39.465248</v>
      </c>
      <c r="B659" s="38">
        <v>-112.967484</v>
      </c>
      <c r="C659" s="39" t="s">
        <v>698</v>
      </c>
      <c r="D659" s="36"/>
    </row>
    <row r="660" ht="14.25" customHeight="1">
      <c r="A660" s="38">
        <v>39.451686</v>
      </c>
      <c r="B660" s="38">
        <v>-113.010332</v>
      </c>
      <c r="C660" s="39" t="s">
        <v>699</v>
      </c>
      <c r="D660" s="36"/>
    </row>
    <row r="661" ht="14.25" customHeight="1">
      <c r="A661" s="38">
        <v>39.449399</v>
      </c>
      <c r="B661" s="38">
        <v>-113.006104</v>
      </c>
      <c r="C661" s="39" t="s">
        <v>700</v>
      </c>
      <c r="D661" s="36"/>
    </row>
    <row r="662" ht="14.25" customHeight="1">
      <c r="A662" s="38">
        <v>39.448156</v>
      </c>
      <c r="B662" s="38">
        <v>-113.001709</v>
      </c>
      <c r="C662" s="39" t="s">
        <v>701</v>
      </c>
      <c r="D662" s="36"/>
    </row>
    <row r="663" ht="14.25" customHeight="1">
      <c r="A663" s="38">
        <v>39.447453</v>
      </c>
      <c r="B663" s="38">
        <v>-112.996883</v>
      </c>
      <c r="C663" s="39" t="s">
        <v>702</v>
      </c>
      <c r="D663" s="36"/>
    </row>
    <row r="664" ht="14.25" customHeight="1">
      <c r="A664" s="38">
        <v>39.447349</v>
      </c>
      <c r="B664" s="38">
        <v>-112.992283</v>
      </c>
      <c r="C664" s="39" t="s">
        <v>703</v>
      </c>
      <c r="D664" s="36"/>
    </row>
    <row r="665" ht="14.25" customHeight="1">
      <c r="A665" s="38">
        <v>39.447374</v>
      </c>
      <c r="B665" s="38">
        <v>-112.98698</v>
      </c>
      <c r="C665" s="39" t="s">
        <v>704</v>
      </c>
      <c r="D665" s="36"/>
    </row>
    <row r="666" ht="14.25" customHeight="1">
      <c r="A666" s="38">
        <v>39.448831</v>
      </c>
      <c r="B666" s="38">
        <v>-112.982625</v>
      </c>
      <c r="C666" s="39" t="s">
        <v>705</v>
      </c>
      <c r="D666" s="36"/>
    </row>
    <row r="667" ht="14.25" customHeight="1">
      <c r="A667" s="38">
        <v>39.449951</v>
      </c>
      <c r="B667" s="38">
        <v>-112.978135</v>
      </c>
      <c r="C667" s="39" t="s">
        <v>706</v>
      </c>
      <c r="D667" s="36"/>
    </row>
    <row r="668" ht="14.25" customHeight="1">
      <c r="A668" s="38">
        <v>39.452403</v>
      </c>
      <c r="B668" s="38">
        <v>-112.973982</v>
      </c>
      <c r="C668" s="39" t="s">
        <v>707</v>
      </c>
      <c r="D668" s="36"/>
    </row>
    <row r="669" ht="14.25" customHeight="1">
      <c r="A669" s="38">
        <v>39.454767</v>
      </c>
      <c r="B669" s="38">
        <v>-112.970524</v>
      </c>
      <c r="C669" s="39" t="s">
        <v>708</v>
      </c>
      <c r="D669" s="36"/>
    </row>
    <row r="670" ht="14.25" customHeight="1">
      <c r="A670" s="38">
        <v>39.457689</v>
      </c>
      <c r="B670" s="38">
        <v>-112.967289</v>
      </c>
      <c r="C670" s="39" t="s">
        <v>709</v>
      </c>
      <c r="D670" s="36"/>
    </row>
    <row r="671" ht="14.25" customHeight="1">
      <c r="A671" s="38">
        <v>39.460873</v>
      </c>
      <c r="B671" s="38">
        <v>-112.964658</v>
      </c>
      <c r="C671" s="39" t="s">
        <v>710</v>
      </c>
      <c r="D671" s="36"/>
    </row>
    <row r="672" ht="14.25" customHeight="1">
      <c r="A672" s="38">
        <v>39.464414</v>
      </c>
      <c r="B672" s="38">
        <v>-112.962687</v>
      </c>
      <c r="C672" s="39" t="s">
        <v>711</v>
      </c>
      <c r="D672" s="36"/>
    </row>
    <row r="673" ht="14.25" customHeight="1">
      <c r="A673" s="38">
        <v>39.444155</v>
      </c>
      <c r="B673" s="38">
        <v>-113.009905</v>
      </c>
      <c r="C673" s="39" t="s">
        <v>712</v>
      </c>
      <c r="D673" s="36"/>
    </row>
    <row r="674" ht="14.25" customHeight="1">
      <c r="A674" s="38">
        <v>39.442363</v>
      </c>
      <c r="B674" s="38">
        <v>-113.001746</v>
      </c>
      <c r="C674" s="39" t="s">
        <v>713</v>
      </c>
      <c r="D674" s="36"/>
    </row>
    <row r="675" ht="14.25" customHeight="1">
      <c r="A675" s="38">
        <v>39.441128</v>
      </c>
      <c r="B675" s="38">
        <v>-112.99442</v>
      </c>
      <c r="C675" s="39" t="s">
        <v>714</v>
      </c>
      <c r="D675" s="36"/>
    </row>
    <row r="676" ht="14.25" customHeight="1">
      <c r="A676" s="38">
        <v>39.441947</v>
      </c>
      <c r="B676" s="38">
        <v>-112.986347</v>
      </c>
      <c r="C676" s="39" t="s">
        <v>715</v>
      </c>
      <c r="D676" s="36"/>
    </row>
    <row r="677" ht="14.25" customHeight="1">
      <c r="A677" s="38">
        <v>39.443526</v>
      </c>
      <c r="B677" s="38">
        <v>-112.980164</v>
      </c>
      <c r="C677" s="39" t="s">
        <v>716</v>
      </c>
      <c r="D677" s="36"/>
    </row>
    <row r="678" ht="14.25" customHeight="1">
      <c r="A678" s="38">
        <v>39.445886</v>
      </c>
      <c r="B678" s="38">
        <v>-112.97354</v>
      </c>
      <c r="C678" s="39" t="s">
        <v>717</v>
      </c>
      <c r="D678" s="36"/>
    </row>
    <row r="679" ht="14.25" customHeight="1">
      <c r="A679" s="38">
        <v>39.448719</v>
      </c>
      <c r="B679" s="38">
        <v>-112.96774</v>
      </c>
      <c r="C679" s="39" t="s">
        <v>718</v>
      </c>
      <c r="D679" s="36"/>
    </row>
    <row r="680" ht="14.25" customHeight="1">
      <c r="A680" s="38">
        <v>39.453183</v>
      </c>
      <c r="B680" s="38">
        <v>-112.962548</v>
      </c>
      <c r="C680" s="39" t="s">
        <v>719</v>
      </c>
      <c r="D680" s="36"/>
    </row>
    <row r="681" ht="14.25" customHeight="1">
      <c r="A681" s="38">
        <v>39.457884</v>
      </c>
      <c r="B681" s="38">
        <v>-112.958484</v>
      </c>
      <c r="C681" s="39" t="s">
        <v>720</v>
      </c>
      <c r="D681" s="36"/>
    </row>
    <row r="682" ht="14.25" customHeight="1">
      <c r="A682" s="38">
        <v>39.463105</v>
      </c>
      <c r="B682" s="38">
        <v>-112.955556</v>
      </c>
      <c r="C682" s="39" t="s">
        <v>721</v>
      </c>
      <c r="D682" s="36"/>
    </row>
    <row r="683" ht="14.25" customHeight="1">
      <c r="A683" s="38">
        <v>39.437535</v>
      </c>
      <c r="B683" s="38">
        <v>-113.008939</v>
      </c>
      <c r="C683" s="39" t="s">
        <v>722</v>
      </c>
      <c r="D683" s="36"/>
    </row>
    <row r="684" ht="14.25" customHeight="1">
      <c r="A684" s="38">
        <v>39.437463</v>
      </c>
      <c r="B684" s="38">
        <v>-112.996283</v>
      </c>
      <c r="C684" s="39" t="s">
        <v>723</v>
      </c>
      <c r="D684" s="36"/>
    </row>
    <row r="685" ht="14.25" customHeight="1">
      <c r="A685" s="38">
        <v>39.434992</v>
      </c>
      <c r="B685" s="38">
        <v>-112.990357</v>
      </c>
      <c r="C685" s="39" t="s">
        <v>724</v>
      </c>
      <c r="D685" s="36"/>
    </row>
    <row r="686" ht="14.25" customHeight="1">
      <c r="A686" s="38">
        <v>39.436495</v>
      </c>
      <c r="B686" s="38">
        <v>-112.984868</v>
      </c>
      <c r="C686" s="39" t="s">
        <v>725</v>
      </c>
      <c r="D686" s="36"/>
    </row>
    <row r="687" ht="14.25" customHeight="1">
      <c r="A687" s="38">
        <v>39.438176</v>
      </c>
      <c r="B687" s="38">
        <v>-112.977757</v>
      </c>
      <c r="C687" s="39" t="s">
        <v>726</v>
      </c>
      <c r="D687" s="36"/>
    </row>
    <row r="688" ht="14.25" customHeight="1">
      <c r="A688" s="38">
        <v>39.440496</v>
      </c>
      <c r="B688" s="38">
        <v>-112.971078</v>
      </c>
      <c r="C688" s="39" t="s">
        <v>727</v>
      </c>
      <c r="D688" s="36"/>
    </row>
    <row r="689" ht="14.25" customHeight="1">
      <c r="A689" s="38">
        <v>39.44356</v>
      </c>
      <c r="B689" s="38">
        <v>-112.964925</v>
      </c>
      <c r="C689" s="39" t="s">
        <v>728</v>
      </c>
      <c r="D689" s="36"/>
    </row>
    <row r="690" ht="14.25" customHeight="1">
      <c r="A690" s="38">
        <v>39.447337</v>
      </c>
      <c r="B690" s="38">
        <v>-112.959454</v>
      </c>
      <c r="C690" s="39" t="s">
        <v>729</v>
      </c>
      <c r="D690" s="36"/>
    </row>
    <row r="691" ht="14.25" customHeight="1">
      <c r="A691" s="38">
        <v>39.451681</v>
      </c>
      <c r="B691" s="38">
        <v>-112.954843</v>
      </c>
      <c r="C691" s="39" t="s">
        <v>730</v>
      </c>
      <c r="D691" s="36"/>
    </row>
    <row r="692" ht="14.25" customHeight="1">
      <c r="A692" s="38">
        <v>39.456553</v>
      </c>
      <c r="B692" s="38">
        <v>-112.951123</v>
      </c>
      <c r="C692" s="39" t="s">
        <v>731</v>
      </c>
      <c r="D692" s="36"/>
    </row>
    <row r="693" ht="14.25" customHeight="1">
      <c r="A693" s="38">
        <v>39.461796</v>
      </c>
      <c r="B693" s="38">
        <v>-112.948413</v>
      </c>
      <c r="C693" s="39" t="s">
        <v>732</v>
      </c>
      <c r="D693" s="36"/>
    </row>
    <row r="694" ht="14.25" customHeight="1">
      <c r="A694" s="38">
        <v>39.434119</v>
      </c>
      <c r="B694" s="38">
        <v>-112.971631</v>
      </c>
      <c r="C694" s="39" t="s">
        <v>733</v>
      </c>
      <c r="D694" s="36"/>
    </row>
    <row r="695" ht="14.25" customHeight="1">
      <c r="A695" s="38">
        <v>39.436505</v>
      </c>
      <c r="B695" s="38">
        <v>-112.965397</v>
      </c>
      <c r="C695" s="39" t="s">
        <v>734</v>
      </c>
      <c r="D695" s="36"/>
    </row>
    <row r="696" ht="14.25" customHeight="1">
      <c r="A696" s="38">
        <v>39.439704</v>
      </c>
      <c r="B696" s="38">
        <v>-112.959406</v>
      </c>
      <c r="C696" s="39" t="s">
        <v>735</v>
      </c>
      <c r="D696" s="36"/>
    </row>
    <row r="697" ht="14.25" customHeight="1">
      <c r="A697" s="38">
        <v>39.443643</v>
      </c>
      <c r="B697" s="38">
        <v>-112.953876</v>
      </c>
      <c r="C697" s="39" t="s">
        <v>736</v>
      </c>
      <c r="D697" s="36"/>
    </row>
    <row r="698" ht="14.25" customHeight="1">
      <c r="A698" s="38">
        <v>39.447901</v>
      </c>
      <c r="B698" s="38">
        <v>-112.94937</v>
      </c>
      <c r="C698" s="39" t="s">
        <v>737</v>
      </c>
      <c r="D698" s="36"/>
    </row>
    <row r="699" ht="14.25" customHeight="1">
      <c r="A699" s="38">
        <v>39.452685</v>
      </c>
      <c r="B699" s="38">
        <v>-112.945499</v>
      </c>
      <c r="C699" s="39" t="s">
        <v>738</v>
      </c>
      <c r="D699" s="36"/>
    </row>
    <row r="700" ht="14.25" customHeight="1">
      <c r="A700" s="38">
        <v>39.457875</v>
      </c>
      <c r="B700" s="38">
        <v>-112.942433</v>
      </c>
      <c r="C700" s="39" t="s">
        <v>739</v>
      </c>
      <c r="D700" s="36"/>
    </row>
    <row r="701" ht="14.25" customHeight="1">
      <c r="A701" s="38">
        <v>39.428612</v>
      </c>
      <c r="B701" s="38">
        <v>-112.969368</v>
      </c>
      <c r="C701" s="39" t="s">
        <v>740</v>
      </c>
      <c r="D701" s="36"/>
    </row>
    <row r="702" ht="14.25" customHeight="1">
      <c r="A702" s="38">
        <v>39.431076</v>
      </c>
      <c r="B702" s="38">
        <v>-112.962867</v>
      </c>
      <c r="C702" s="39" t="s">
        <v>741</v>
      </c>
      <c r="D702" s="36"/>
    </row>
    <row r="703" ht="14.25" customHeight="1">
      <c r="A703" s="38">
        <v>39.434145</v>
      </c>
      <c r="B703" s="38">
        <v>-112.956746</v>
      </c>
      <c r="C703" s="39" t="s">
        <v>742</v>
      </c>
      <c r="D703" s="36"/>
    </row>
    <row r="704" ht="14.25" customHeight="1">
      <c r="A704" s="38">
        <v>39.437806</v>
      </c>
      <c r="B704" s="38">
        <v>-112.951111</v>
      </c>
      <c r="C704" s="39" t="s">
        <v>743</v>
      </c>
      <c r="D704" s="36"/>
    </row>
    <row r="705" ht="14.25" customHeight="1">
      <c r="A705" s="38">
        <v>39.441883</v>
      </c>
      <c r="B705" s="38">
        <v>-112.946148</v>
      </c>
      <c r="C705" s="39" t="s">
        <v>744</v>
      </c>
      <c r="D705" s="36"/>
    </row>
    <row r="706" ht="14.25" customHeight="1">
      <c r="A706" s="38">
        <v>39.446434</v>
      </c>
      <c r="B706" s="38">
        <v>-112.941799</v>
      </c>
      <c r="C706" s="39" t="s">
        <v>745</v>
      </c>
      <c r="D706" s="36"/>
    </row>
    <row r="707" ht="14.25" customHeight="1">
      <c r="A707" s="38">
        <v>39.451378</v>
      </c>
      <c r="B707" s="38">
        <v>-112.938145</v>
      </c>
      <c r="C707" s="39" t="s">
        <v>746</v>
      </c>
      <c r="D707" s="36"/>
    </row>
    <row r="708" ht="14.25" customHeight="1">
      <c r="A708" s="38">
        <v>39.456554</v>
      </c>
      <c r="B708" s="38">
        <v>-112.935274</v>
      </c>
      <c r="C708" s="39" t="s">
        <v>747</v>
      </c>
      <c r="D708" s="36"/>
    </row>
    <row r="709" ht="14.25" customHeight="1">
      <c r="A709" s="38">
        <v>39.459809</v>
      </c>
      <c r="B709" s="38">
        <v>-113.001828</v>
      </c>
      <c r="C709" s="39" t="s">
        <v>748</v>
      </c>
      <c r="D709" s="36"/>
    </row>
    <row r="710" ht="14.25" customHeight="1">
      <c r="A710" s="38">
        <v>39.458907</v>
      </c>
      <c r="B710" s="38">
        <v>-112.997066</v>
      </c>
      <c r="C710" s="39" t="s">
        <v>749</v>
      </c>
      <c r="D710" s="36"/>
    </row>
    <row r="711" ht="14.25" customHeight="1">
      <c r="A711" s="38">
        <v>39.458673</v>
      </c>
      <c r="B711" s="38">
        <v>-112.992349</v>
      </c>
      <c r="C711" s="39" t="s">
        <v>750</v>
      </c>
      <c r="D711" s="36"/>
    </row>
    <row r="712" ht="14.25" customHeight="1">
      <c r="A712" s="38">
        <v>39.458588</v>
      </c>
      <c r="B712" s="38">
        <v>-112.988025</v>
      </c>
      <c r="C712" s="39" t="s">
        <v>751</v>
      </c>
      <c r="D712" s="36"/>
    </row>
    <row r="713" ht="14.25" customHeight="1">
      <c r="A713" s="38">
        <v>39.461259</v>
      </c>
      <c r="B713" s="38">
        <v>-112.98321</v>
      </c>
      <c r="C713" s="39" t="s">
        <v>752</v>
      </c>
      <c r="D713" s="36"/>
    </row>
    <row r="714" ht="14.25" customHeight="1">
      <c r="A714" s="38">
        <v>39.463754</v>
      </c>
      <c r="B714" s="38">
        <v>-112.979717</v>
      </c>
      <c r="C714" s="39" t="s">
        <v>753</v>
      </c>
      <c r="D714" s="36"/>
    </row>
    <row r="715" ht="14.25" customHeight="1">
      <c r="A715" s="38">
        <v>39.466973</v>
      </c>
      <c r="B715" s="38">
        <v>-112.977096</v>
      </c>
      <c r="C715" s="39" t="s">
        <v>754</v>
      </c>
      <c r="D715" s="36"/>
    </row>
    <row r="716" ht="14.25" customHeight="1">
      <c r="A716" s="38">
        <v>39.457065</v>
      </c>
      <c r="B716" s="38">
        <v>-113.004734</v>
      </c>
      <c r="C716" s="39" t="s">
        <v>755</v>
      </c>
      <c r="D716" s="36"/>
    </row>
    <row r="717" ht="14.25" customHeight="1">
      <c r="A717" s="38">
        <v>39.455611</v>
      </c>
      <c r="B717" s="38">
        <v>-113.000265</v>
      </c>
      <c r="C717" s="39" t="s">
        <v>756</v>
      </c>
      <c r="D717" s="36"/>
    </row>
    <row r="718" ht="14.25" customHeight="1">
      <c r="A718" s="38">
        <v>39.454976</v>
      </c>
      <c r="B718" s="38">
        <v>-112.995493</v>
      </c>
      <c r="C718" s="39" t="s">
        <v>757</v>
      </c>
      <c r="D718" s="36"/>
    </row>
    <row r="719" ht="14.25" customHeight="1">
      <c r="A719" s="38">
        <v>39.454555</v>
      </c>
      <c r="B719" s="38">
        <v>-112.990509</v>
      </c>
      <c r="C719" s="39" t="s">
        <v>758</v>
      </c>
      <c r="D719" s="36"/>
    </row>
    <row r="720" ht="14.25" customHeight="1">
      <c r="A720" s="38">
        <v>39.455659</v>
      </c>
      <c r="B720" s="38">
        <v>-112.985687</v>
      </c>
      <c r="C720" s="39" t="s">
        <v>759</v>
      </c>
      <c r="D720" s="36"/>
    </row>
    <row r="721" ht="14.25" customHeight="1">
      <c r="A721" s="38">
        <v>39.457564</v>
      </c>
      <c r="B721" s="38">
        <v>-112.981554</v>
      </c>
      <c r="C721" s="39" t="s">
        <v>760</v>
      </c>
      <c r="D721" s="36"/>
    </row>
    <row r="722" ht="14.25" customHeight="1">
      <c r="A722" s="38">
        <v>39.459857</v>
      </c>
      <c r="B722" s="38">
        <v>-112.977709</v>
      </c>
      <c r="C722" s="39" t="s">
        <v>761</v>
      </c>
      <c r="D722" s="36"/>
    </row>
    <row r="723" ht="14.25" customHeight="1">
      <c r="A723" s="38">
        <v>39.462934</v>
      </c>
      <c r="B723" s="38">
        <v>-112.974146</v>
      </c>
      <c r="C723" s="39" t="s">
        <v>762</v>
      </c>
      <c r="D723" s="36"/>
    </row>
    <row r="724" ht="14.25" customHeight="1">
      <c r="A724" s="38">
        <v>39.466071</v>
      </c>
      <c r="B724" s="38">
        <v>-112.972302</v>
      </c>
      <c r="C724" s="39" t="s">
        <v>763</v>
      </c>
      <c r="D724" s="36"/>
    </row>
    <row r="725" ht="14.25" customHeight="1">
      <c r="A725" s="38">
        <v>39.454056</v>
      </c>
      <c r="B725" s="38">
        <v>-113.00779</v>
      </c>
      <c r="C725" s="39" t="s">
        <v>764</v>
      </c>
      <c r="D725" s="36"/>
    </row>
    <row r="726" ht="14.25" customHeight="1">
      <c r="A726" s="38">
        <v>39.452925</v>
      </c>
      <c r="B726" s="38">
        <v>-113.00336</v>
      </c>
      <c r="C726" s="39" t="s">
        <v>765</v>
      </c>
      <c r="D726" s="36"/>
    </row>
    <row r="727" ht="14.25" customHeight="1">
      <c r="A727" s="38">
        <v>39.451664</v>
      </c>
      <c r="B727" s="38">
        <v>-112.999453</v>
      </c>
      <c r="C727" s="39" t="s">
        <v>766</v>
      </c>
      <c r="D727" s="36"/>
    </row>
    <row r="728" ht="14.25" customHeight="1">
      <c r="A728" s="38">
        <v>39.451132</v>
      </c>
      <c r="B728" s="38">
        <v>-112.993923</v>
      </c>
      <c r="C728" s="39" t="s">
        <v>767</v>
      </c>
      <c r="D728" s="36"/>
    </row>
    <row r="729" ht="14.25" customHeight="1">
      <c r="A729" s="38">
        <v>39.452092</v>
      </c>
      <c r="B729" s="38">
        <v>-112.98845</v>
      </c>
      <c r="C729" s="39" t="s">
        <v>768</v>
      </c>
      <c r="D729" s="36"/>
    </row>
    <row r="730" ht="14.25" customHeight="1">
      <c r="A730" s="38">
        <v>39.452475</v>
      </c>
      <c r="B730" s="38">
        <v>-112.98441</v>
      </c>
      <c r="C730" s="39" t="s">
        <v>769</v>
      </c>
      <c r="D730" s="36"/>
    </row>
    <row r="731" ht="14.25" customHeight="1">
      <c r="A731" s="38">
        <v>39.453924</v>
      </c>
      <c r="B731" s="38">
        <v>-112.979979</v>
      </c>
      <c r="C731" s="39" t="s">
        <v>770</v>
      </c>
      <c r="D731" s="36"/>
    </row>
    <row r="732" ht="14.25" customHeight="1">
      <c r="A732" s="38">
        <v>39.456154</v>
      </c>
      <c r="B732" s="38">
        <v>-112.975816</v>
      </c>
      <c r="C732" s="39" t="s">
        <v>771</v>
      </c>
      <c r="D732" s="36"/>
    </row>
    <row r="733" ht="14.25" customHeight="1">
      <c r="A733" s="38">
        <v>39.458726</v>
      </c>
      <c r="B733" s="38">
        <v>-112.972443</v>
      </c>
      <c r="C733" s="39" t="s">
        <v>772</v>
      </c>
      <c r="D733" s="36"/>
    </row>
    <row r="734" ht="14.25" customHeight="1">
      <c r="A734" s="38">
        <v>39.461906</v>
      </c>
      <c r="B734" s="38">
        <v>-112.969513</v>
      </c>
      <c r="C734" s="39" t="s">
        <v>773</v>
      </c>
      <c r="D734" s="36"/>
    </row>
    <row r="735" ht="14.25" customHeight="1">
      <c r="A735" s="38">
        <v>39.465248</v>
      </c>
      <c r="B735" s="38">
        <v>-112.967484</v>
      </c>
      <c r="C735" s="39" t="s">
        <v>774</v>
      </c>
      <c r="D735" s="36"/>
    </row>
    <row r="736" ht="14.25" customHeight="1">
      <c r="A736" s="38">
        <v>39.451686</v>
      </c>
      <c r="B736" s="38">
        <v>-113.010332</v>
      </c>
      <c r="C736" s="39" t="s">
        <v>775</v>
      </c>
      <c r="D736" s="36"/>
    </row>
    <row r="737" ht="14.25" customHeight="1">
      <c r="A737" s="38">
        <v>39.449399</v>
      </c>
      <c r="B737" s="38">
        <v>-113.006104</v>
      </c>
      <c r="C737" s="39" t="s">
        <v>776</v>
      </c>
      <c r="D737" s="36"/>
    </row>
    <row r="738" ht="14.25" customHeight="1">
      <c r="A738" s="38">
        <v>39.448156</v>
      </c>
      <c r="B738" s="38">
        <v>-113.001709</v>
      </c>
      <c r="C738" s="39" t="s">
        <v>777</v>
      </c>
      <c r="D738" s="36"/>
    </row>
    <row r="739" ht="14.25" customHeight="1">
      <c r="A739" s="38">
        <v>39.447453</v>
      </c>
      <c r="B739" s="38">
        <v>-112.996883</v>
      </c>
      <c r="C739" s="39" t="s">
        <v>778</v>
      </c>
      <c r="D739" s="36"/>
    </row>
    <row r="740" ht="14.25" customHeight="1">
      <c r="A740" s="38">
        <v>39.447349</v>
      </c>
      <c r="B740" s="38">
        <v>-112.992283</v>
      </c>
      <c r="C740" s="39" t="s">
        <v>779</v>
      </c>
      <c r="D740" s="36"/>
    </row>
    <row r="741" ht="14.25" customHeight="1">
      <c r="A741" s="38">
        <v>39.447374</v>
      </c>
      <c r="B741" s="38">
        <v>-112.98698</v>
      </c>
      <c r="C741" s="39" t="s">
        <v>780</v>
      </c>
      <c r="D741" s="36"/>
    </row>
    <row r="742" ht="14.25" customHeight="1">
      <c r="A742" s="38">
        <v>39.448831</v>
      </c>
      <c r="B742" s="38">
        <v>-112.982625</v>
      </c>
      <c r="C742" s="39" t="s">
        <v>781</v>
      </c>
      <c r="D742" s="36"/>
    </row>
    <row r="743" ht="14.25" customHeight="1">
      <c r="A743" s="38">
        <v>39.449951</v>
      </c>
      <c r="B743" s="38">
        <v>-112.978135</v>
      </c>
      <c r="C743" s="39" t="s">
        <v>782</v>
      </c>
      <c r="D743" s="36"/>
    </row>
    <row r="744" ht="14.25" customHeight="1">
      <c r="A744" s="38">
        <v>39.452403</v>
      </c>
      <c r="B744" s="38">
        <v>-112.973982</v>
      </c>
      <c r="C744" s="39" t="s">
        <v>783</v>
      </c>
      <c r="D744" s="36"/>
    </row>
    <row r="745" ht="14.25" customHeight="1">
      <c r="A745" s="38">
        <v>39.454767</v>
      </c>
      <c r="B745" s="38">
        <v>-112.970524</v>
      </c>
      <c r="C745" s="39" t="s">
        <v>784</v>
      </c>
      <c r="D745" s="36"/>
    </row>
    <row r="746" ht="14.25" customHeight="1">
      <c r="A746" s="38">
        <v>39.457689</v>
      </c>
      <c r="B746" s="38">
        <v>-112.967289</v>
      </c>
      <c r="C746" s="39" t="s">
        <v>785</v>
      </c>
      <c r="D746" s="36"/>
    </row>
    <row r="747" ht="14.25" customHeight="1">
      <c r="A747" s="38">
        <v>39.460873</v>
      </c>
      <c r="B747" s="38">
        <v>-112.964658</v>
      </c>
      <c r="C747" s="39" t="s">
        <v>786</v>
      </c>
      <c r="D747" s="36"/>
    </row>
    <row r="748" ht="14.25" customHeight="1">
      <c r="A748" s="38">
        <v>39.464414</v>
      </c>
      <c r="B748" s="38">
        <v>-112.962687</v>
      </c>
      <c r="C748" s="39" t="s">
        <v>787</v>
      </c>
      <c r="D748" s="36"/>
    </row>
    <row r="749" ht="14.25" customHeight="1">
      <c r="A749" s="38">
        <v>39.444155</v>
      </c>
      <c r="B749" s="38">
        <v>-113.009905</v>
      </c>
      <c r="C749" s="39" t="s">
        <v>788</v>
      </c>
      <c r="D749" s="36"/>
    </row>
    <row r="750" ht="14.25" customHeight="1">
      <c r="A750" s="38">
        <v>39.442363</v>
      </c>
      <c r="B750" s="38">
        <v>-113.001746</v>
      </c>
      <c r="C750" s="39" t="s">
        <v>789</v>
      </c>
      <c r="D750" s="36"/>
    </row>
    <row r="751" ht="14.25" customHeight="1">
      <c r="A751" s="38">
        <v>39.441128</v>
      </c>
      <c r="B751" s="38">
        <v>-112.99442</v>
      </c>
      <c r="C751" s="39" t="s">
        <v>790</v>
      </c>
      <c r="D751" s="36"/>
    </row>
    <row r="752" ht="14.25" customHeight="1">
      <c r="A752" s="38">
        <v>39.441947</v>
      </c>
      <c r="B752" s="38">
        <v>-112.986347</v>
      </c>
      <c r="C752" s="39" t="s">
        <v>791</v>
      </c>
      <c r="D752" s="36"/>
    </row>
    <row r="753" ht="14.25" customHeight="1">
      <c r="A753" s="38">
        <v>39.443526</v>
      </c>
      <c r="B753" s="38">
        <v>-112.980164</v>
      </c>
      <c r="C753" s="39" t="s">
        <v>792</v>
      </c>
      <c r="D753" s="36"/>
    </row>
    <row r="754" ht="14.25" customHeight="1">
      <c r="A754" s="38">
        <v>39.445886</v>
      </c>
      <c r="B754" s="38">
        <v>-112.97354</v>
      </c>
      <c r="C754" s="39" t="s">
        <v>793</v>
      </c>
      <c r="D754" s="36"/>
    </row>
    <row r="755" ht="14.25" customHeight="1">
      <c r="A755" s="38">
        <v>39.448719</v>
      </c>
      <c r="B755" s="38">
        <v>-112.96774</v>
      </c>
      <c r="C755" s="39" t="s">
        <v>794</v>
      </c>
      <c r="D755" s="36"/>
    </row>
    <row r="756" ht="14.25" customHeight="1">
      <c r="A756" s="38">
        <v>39.453183</v>
      </c>
      <c r="B756" s="38">
        <v>-112.962548</v>
      </c>
      <c r="C756" s="39" t="s">
        <v>795</v>
      </c>
      <c r="D756" s="36"/>
    </row>
    <row r="757" ht="14.25" customHeight="1">
      <c r="A757" s="38">
        <v>39.457884</v>
      </c>
      <c r="B757" s="38">
        <v>-112.958484</v>
      </c>
      <c r="C757" s="39" t="s">
        <v>796</v>
      </c>
      <c r="D757" s="36"/>
    </row>
    <row r="758" ht="14.25" customHeight="1">
      <c r="A758" s="38">
        <v>39.463105</v>
      </c>
      <c r="B758" s="38">
        <v>-112.955556</v>
      </c>
      <c r="C758" s="39" t="s">
        <v>797</v>
      </c>
      <c r="D758" s="36"/>
    </row>
    <row r="759" ht="14.25" customHeight="1">
      <c r="A759" s="38">
        <v>39.437535</v>
      </c>
      <c r="B759" s="38">
        <v>-113.008939</v>
      </c>
      <c r="C759" s="39" t="s">
        <v>798</v>
      </c>
      <c r="D759" s="36"/>
    </row>
    <row r="760" ht="14.25" customHeight="1">
      <c r="A760" s="38">
        <v>39.437463</v>
      </c>
      <c r="B760" s="38">
        <v>-112.996283</v>
      </c>
      <c r="C760" s="39" t="s">
        <v>799</v>
      </c>
      <c r="D760" s="36"/>
    </row>
    <row r="761" ht="14.25" customHeight="1">
      <c r="A761" s="38">
        <v>39.434992</v>
      </c>
      <c r="B761" s="38">
        <v>-112.990357</v>
      </c>
      <c r="C761" s="39" t="s">
        <v>800</v>
      </c>
      <c r="D761" s="36"/>
    </row>
    <row r="762" ht="14.25" customHeight="1">
      <c r="A762" s="38">
        <v>39.436495</v>
      </c>
      <c r="B762" s="38">
        <v>-112.984868</v>
      </c>
      <c r="C762" s="39" t="s">
        <v>801</v>
      </c>
      <c r="D762" s="36"/>
    </row>
    <row r="763" ht="14.25" customHeight="1">
      <c r="A763" s="38">
        <v>39.438176</v>
      </c>
      <c r="B763" s="38">
        <v>-112.977757</v>
      </c>
      <c r="C763" s="39" t="s">
        <v>802</v>
      </c>
      <c r="D763" s="36"/>
    </row>
    <row r="764" ht="14.25" customHeight="1">
      <c r="A764" s="38">
        <v>39.440496</v>
      </c>
      <c r="B764" s="38">
        <v>-112.971078</v>
      </c>
      <c r="C764" s="39" t="s">
        <v>803</v>
      </c>
      <c r="D764" s="36"/>
    </row>
    <row r="765" ht="14.25" customHeight="1">
      <c r="A765" s="38">
        <v>39.44356</v>
      </c>
      <c r="B765" s="38">
        <v>-112.964925</v>
      </c>
      <c r="C765" s="39" t="s">
        <v>804</v>
      </c>
      <c r="D765" s="36"/>
    </row>
    <row r="766" ht="14.25" customHeight="1">
      <c r="A766" s="38">
        <v>39.447337</v>
      </c>
      <c r="B766" s="38">
        <v>-112.959454</v>
      </c>
      <c r="C766" s="39" t="s">
        <v>805</v>
      </c>
      <c r="D766" s="36"/>
    </row>
    <row r="767" ht="14.25" customHeight="1">
      <c r="A767" s="38">
        <v>39.451681</v>
      </c>
      <c r="B767" s="38">
        <v>-112.954843</v>
      </c>
      <c r="C767" s="39" t="s">
        <v>806</v>
      </c>
      <c r="D767" s="36"/>
    </row>
    <row r="768" ht="14.25" customHeight="1">
      <c r="A768" s="38">
        <v>39.456553</v>
      </c>
      <c r="B768" s="38">
        <v>-112.951123</v>
      </c>
      <c r="C768" s="39" t="s">
        <v>807</v>
      </c>
      <c r="D768" s="36"/>
    </row>
    <row r="769" ht="14.25" customHeight="1">
      <c r="A769" s="38">
        <v>39.461796</v>
      </c>
      <c r="B769" s="38">
        <v>-112.948413</v>
      </c>
      <c r="C769" s="39" t="s">
        <v>808</v>
      </c>
      <c r="D769" s="36"/>
    </row>
    <row r="770" ht="14.25" customHeight="1">
      <c r="A770" s="38">
        <v>39.434119</v>
      </c>
      <c r="B770" s="38">
        <v>-112.971631</v>
      </c>
      <c r="C770" s="39" t="s">
        <v>809</v>
      </c>
      <c r="D770" s="36"/>
    </row>
    <row r="771" ht="14.25" customHeight="1">
      <c r="A771" s="38">
        <v>39.436505</v>
      </c>
      <c r="B771" s="38">
        <v>-112.965397</v>
      </c>
      <c r="C771" s="39" t="s">
        <v>810</v>
      </c>
      <c r="D771" s="36"/>
    </row>
    <row r="772" ht="14.25" customHeight="1">
      <c r="A772" s="38">
        <v>39.439704</v>
      </c>
      <c r="B772" s="38">
        <v>-112.959406</v>
      </c>
      <c r="C772" s="39" t="s">
        <v>811</v>
      </c>
      <c r="D772" s="36"/>
    </row>
    <row r="773" ht="14.25" customHeight="1">
      <c r="A773" s="38">
        <v>39.443643</v>
      </c>
      <c r="B773" s="38">
        <v>-112.953876</v>
      </c>
      <c r="C773" s="39" t="s">
        <v>812</v>
      </c>
      <c r="D773" s="36"/>
    </row>
    <row r="774" ht="14.25" customHeight="1">
      <c r="A774" s="38">
        <v>39.447901</v>
      </c>
      <c r="B774" s="38">
        <v>-112.94937</v>
      </c>
      <c r="C774" s="39" t="s">
        <v>813</v>
      </c>
      <c r="D774" s="36"/>
    </row>
    <row r="775" ht="14.25" customHeight="1">
      <c r="A775" s="38">
        <v>39.452685</v>
      </c>
      <c r="B775" s="38">
        <v>-112.945499</v>
      </c>
      <c r="C775" s="39" t="s">
        <v>814</v>
      </c>
      <c r="D775" s="36"/>
    </row>
    <row r="776" ht="14.25" customHeight="1">
      <c r="A776" s="38">
        <v>39.457875</v>
      </c>
      <c r="B776" s="38">
        <v>-112.942433</v>
      </c>
      <c r="C776" s="39" t="s">
        <v>815</v>
      </c>
      <c r="D776" s="36"/>
    </row>
    <row r="777" ht="14.25" customHeight="1">
      <c r="A777" s="38">
        <v>39.428612</v>
      </c>
      <c r="B777" s="38">
        <v>-112.969368</v>
      </c>
      <c r="C777" s="39" t="s">
        <v>816</v>
      </c>
      <c r="D777" s="36"/>
    </row>
    <row r="778" ht="14.25" customHeight="1">
      <c r="A778" s="38">
        <v>39.431076</v>
      </c>
      <c r="B778" s="38">
        <v>-112.962867</v>
      </c>
      <c r="C778" s="39" t="s">
        <v>817</v>
      </c>
      <c r="D778" s="36"/>
    </row>
    <row r="779" ht="14.25" customHeight="1">
      <c r="A779" s="38">
        <v>39.434145</v>
      </c>
      <c r="B779" s="38">
        <v>-112.956746</v>
      </c>
      <c r="C779" s="39" t="s">
        <v>818</v>
      </c>
      <c r="D779" s="36"/>
    </row>
    <row r="780" ht="14.25" customHeight="1">
      <c r="A780" s="38">
        <v>39.437806</v>
      </c>
      <c r="B780" s="38">
        <v>-112.951111</v>
      </c>
      <c r="C780" s="39" t="s">
        <v>819</v>
      </c>
      <c r="D780" s="36"/>
    </row>
    <row r="781" ht="14.25" customHeight="1">
      <c r="A781" s="38">
        <v>39.441883</v>
      </c>
      <c r="B781" s="38">
        <v>-112.946148</v>
      </c>
      <c r="C781" s="39" t="s">
        <v>820</v>
      </c>
      <c r="D781" s="36"/>
    </row>
    <row r="782" ht="14.25" customHeight="1">
      <c r="A782" s="38">
        <v>39.446434</v>
      </c>
      <c r="B782" s="38">
        <v>-112.941799</v>
      </c>
      <c r="C782" s="39" t="s">
        <v>821</v>
      </c>
      <c r="D782" s="36"/>
    </row>
    <row r="783" ht="14.25" customHeight="1">
      <c r="A783" s="38">
        <v>39.451378</v>
      </c>
      <c r="B783" s="38">
        <v>-112.938145</v>
      </c>
      <c r="C783" s="39" t="s">
        <v>822</v>
      </c>
      <c r="D783" s="36"/>
    </row>
    <row r="784" ht="14.25" customHeight="1">
      <c r="A784" s="38">
        <v>39.456554</v>
      </c>
      <c r="B784" s="38">
        <v>-112.935274</v>
      </c>
      <c r="C784" s="39" t="s">
        <v>823</v>
      </c>
      <c r="D784" s="36"/>
    </row>
    <row r="785" ht="14.25" customHeight="1">
      <c r="A785" s="38">
        <v>39.313853</v>
      </c>
      <c r="B785" s="38">
        <v>-113.023408</v>
      </c>
      <c r="C785" s="39" t="s">
        <v>824</v>
      </c>
      <c r="D785" s="36"/>
    </row>
    <row r="786" ht="14.25" customHeight="1">
      <c r="A786" s="38">
        <v>39.313911</v>
      </c>
      <c r="B786" s="38">
        <v>-113.037317</v>
      </c>
      <c r="C786" s="39" t="s">
        <v>825</v>
      </c>
      <c r="D786" s="36"/>
    </row>
    <row r="787" ht="14.25" customHeight="1">
      <c r="A787" s="38">
        <v>39.313907</v>
      </c>
      <c r="B787" s="38">
        <v>-113.009497</v>
      </c>
      <c r="C787" s="39" t="s">
        <v>826</v>
      </c>
      <c r="D787" s="36"/>
    </row>
    <row r="788" ht="14.25" customHeight="1">
      <c r="A788" s="38">
        <v>39.324572</v>
      </c>
      <c r="B788" s="38">
        <v>-113.009645</v>
      </c>
      <c r="C788" s="39" t="s">
        <v>827</v>
      </c>
      <c r="D788" s="36"/>
    </row>
    <row r="789" ht="14.25" customHeight="1">
      <c r="A789" s="38">
        <v>39.335493</v>
      </c>
      <c r="B789" s="38">
        <v>-113.009459</v>
      </c>
      <c r="C789" s="39" t="s">
        <v>828</v>
      </c>
      <c r="D789" s="36"/>
    </row>
    <row r="790" ht="14.25" customHeight="1">
      <c r="A790" s="38">
        <v>39.313788</v>
      </c>
      <c r="B790" s="38">
        <v>-112.995572</v>
      </c>
      <c r="C790" s="39" t="s">
        <v>829</v>
      </c>
      <c r="D790" s="36"/>
    </row>
    <row r="791" ht="14.25" customHeight="1">
      <c r="A791" s="38">
        <v>39.324669</v>
      </c>
      <c r="B791" s="38">
        <v>-112.995532</v>
      </c>
      <c r="C791" s="39" t="s">
        <v>830</v>
      </c>
      <c r="D791" s="36"/>
    </row>
    <row r="792" ht="14.25" customHeight="1">
      <c r="A792" s="38">
        <v>39.335572</v>
      </c>
      <c r="B792" s="38">
        <v>-112.995524</v>
      </c>
      <c r="C792" s="39" t="s">
        <v>831</v>
      </c>
      <c r="D792" s="36"/>
    </row>
    <row r="793" ht="14.25" customHeight="1">
      <c r="A793" s="38">
        <v>39.346229</v>
      </c>
      <c r="B793" s="38">
        <v>-112.995514</v>
      </c>
      <c r="C793" s="39" t="s">
        <v>832</v>
      </c>
      <c r="D793" s="36"/>
    </row>
    <row r="794" ht="14.25" customHeight="1">
      <c r="A794" s="38">
        <v>39.313895</v>
      </c>
      <c r="B794" s="38">
        <v>-112.981636</v>
      </c>
      <c r="C794" s="39" t="s">
        <v>833</v>
      </c>
      <c r="D794" s="36"/>
    </row>
    <row r="795" ht="14.25" customHeight="1">
      <c r="A795" s="38">
        <v>39.324698</v>
      </c>
      <c r="B795" s="38">
        <v>-112.981572</v>
      </c>
      <c r="C795" s="39" t="s">
        <v>834</v>
      </c>
      <c r="D795" s="36"/>
    </row>
    <row r="796" ht="14.25" customHeight="1">
      <c r="A796" s="38">
        <v>39.335479</v>
      </c>
      <c r="B796" s="38">
        <v>-112.98162</v>
      </c>
      <c r="C796" s="39" t="s">
        <v>835</v>
      </c>
      <c r="D796" s="36"/>
    </row>
    <row r="797" ht="14.25" customHeight="1">
      <c r="A797" s="38">
        <v>39.346374</v>
      </c>
      <c r="B797" s="38">
        <v>-112.981646</v>
      </c>
      <c r="C797" s="39" t="s">
        <v>836</v>
      </c>
      <c r="D797" s="36"/>
    </row>
    <row r="798" ht="14.25" customHeight="1">
      <c r="A798" s="38">
        <v>39.357139</v>
      </c>
      <c r="B798" s="38">
        <v>-112.981606</v>
      </c>
      <c r="C798" s="39" t="s">
        <v>837</v>
      </c>
      <c r="D798" s="36"/>
    </row>
    <row r="799" ht="14.25" customHeight="1">
      <c r="A799" s="38">
        <v>39.313886</v>
      </c>
      <c r="B799" s="38">
        <v>-112.967716</v>
      </c>
      <c r="C799" s="39" t="s">
        <v>838</v>
      </c>
      <c r="D799" s="36"/>
    </row>
    <row r="800" ht="14.25" customHeight="1">
      <c r="A800" s="38">
        <v>39.324672</v>
      </c>
      <c r="B800" s="38">
        <v>-112.967724</v>
      </c>
      <c r="C800" s="39" t="s">
        <v>839</v>
      </c>
      <c r="D800" s="36"/>
    </row>
    <row r="801" ht="14.25" customHeight="1">
      <c r="A801" s="38">
        <v>39.335494</v>
      </c>
      <c r="B801" s="38">
        <v>-112.967739</v>
      </c>
      <c r="C801" s="39" t="s">
        <v>840</v>
      </c>
      <c r="D801" s="36"/>
    </row>
    <row r="802" ht="14.25" customHeight="1">
      <c r="A802" s="38">
        <v>39.346238</v>
      </c>
      <c r="B802" s="38">
        <v>-112.967664</v>
      </c>
      <c r="C802" s="39" t="s">
        <v>841</v>
      </c>
      <c r="D802" s="36"/>
    </row>
    <row r="803" ht="14.25" customHeight="1">
      <c r="A803" s="38">
        <v>39.357098</v>
      </c>
      <c r="B803" s="38">
        <v>-112.967689</v>
      </c>
      <c r="C803" s="39" t="s">
        <v>842</v>
      </c>
      <c r="D803" s="36"/>
    </row>
    <row r="804" ht="14.25" customHeight="1">
      <c r="A804" s="38">
        <v>39.367819</v>
      </c>
      <c r="B804" s="38">
        <v>-112.967417</v>
      </c>
      <c r="C804" s="39" t="s">
        <v>843</v>
      </c>
      <c r="D804" s="36"/>
    </row>
    <row r="805" ht="14.25" customHeight="1">
      <c r="A805" s="38">
        <v>39.313891</v>
      </c>
      <c r="B805" s="38">
        <v>-112.953829</v>
      </c>
      <c r="C805" s="39" t="s">
        <v>844</v>
      </c>
      <c r="D805" s="36"/>
    </row>
    <row r="806" ht="14.25" customHeight="1">
      <c r="A806" s="38">
        <v>39.324666</v>
      </c>
      <c r="B806" s="38">
        <v>-112.953813</v>
      </c>
      <c r="C806" s="39" t="s">
        <v>845</v>
      </c>
      <c r="D806" s="36"/>
    </row>
    <row r="807" ht="14.25" customHeight="1">
      <c r="A807" s="38">
        <v>39.335482</v>
      </c>
      <c r="B807" s="38">
        <v>-112.95377</v>
      </c>
      <c r="C807" s="39" t="s">
        <v>846</v>
      </c>
      <c r="D807" s="36"/>
    </row>
    <row r="808" ht="14.25" customHeight="1">
      <c r="A808" s="38">
        <v>39.346312</v>
      </c>
      <c r="B808" s="38">
        <v>-112.95374</v>
      </c>
      <c r="C808" s="39" t="s">
        <v>847</v>
      </c>
      <c r="D808" s="36"/>
    </row>
    <row r="809" ht="14.25" customHeight="1">
      <c r="A809" s="38">
        <v>39.357124</v>
      </c>
      <c r="B809" s="38">
        <v>-112.953725</v>
      </c>
      <c r="C809" s="39" t="s">
        <v>848</v>
      </c>
      <c r="D809" s="36"/>
    </row>
    <row r="810" ht="14.25" customHeight="1">
      <c r="A810" s="38">
        <v>39.367907</v>
      </c>
      <c r="B810" s="38">
        <v>-112.953739</v>
      </c>
      <c r="C810" s="39" t="s">
        <v>849</v>
      </c>
      <c r="D810" s="36"/>
    </row>
    <row r="811" ht="14.25" customHeight="1">
      <c r="A811" s="38">
        <v>39.378821</v>
      </c>
      <c r="B811" s="38">
        <v>-112.953748</v>
      </c>
      <c r="C811" s="39" t="s">
        <v>850</v>
      </c>
      <c r="D811" s="36"/>
    </row>
    <row r="812" ht="14.25" customHeight="1">
      <c r="A812" s="38">
        <v>39.313813</v>
      </c>
      <c r="B812" s="38">
        <v>-112.939896</v>
      </c>
      <c r="C812" s="39" t="s">
        <v>851</v>
      </c>
      <c r="D812" s="36"/>
    </row>
    <row r="813" ht="14.25" customHeight="1">
      <c r="A813" s="38">
        <v>39.324702</v>
      </c>
      <c r="B813" s="38">
        <v>-112.939834</v>
      </c>
      <c r="C813" s="39" t="s">
        <v>852</v>
      </c>
      <c r="D813" s="36"/>
    </row>
    <row r="814" ht="14.25" customHeight="1">
      <c r="A814" s="38">
        <v>39.335496</v>
      </c>
      <c r="B814" s="38">
        <v>-112.939886</v>
      </c>
      <c r="C814" s="39" t="s">
        <v>853</v>
      </c>
      <c r="D814" s="36"/>
    </row>
    <row r="815" ht="14.25" customHeight="1">
      <c r="A815" s="38">
        <v>39.346338</v>
      </c>
      <c r="B815" s="38">
        <v>-112.939883</v>
      </c>
      <c r="C815" s="39" t="s">
        <v>854</v>
      </c>
      <c r="D815" s="36"/>
    </row>
    <row r="816" ht="14.25" customHeight="1">
      <c r="A816" s="38">
        <v>39.357075</v>
      </c>
      <c r="B816" s="38">
        <v>-112.939812</v>
      </c>
      <c r="C816" s="39" t="s">
        <v>855</v>
      </c>
      <c r="D816" s="36"/>
    </row>
    <row r="817" ht="14.25" customHeight="1">
      <c r="A817" s="38">
        <v>39.367862</v>
      </c>
      <c r="B817" s="38">
        <v>-112.94002</v>
      </c>
      <c r="C817" s="39" t="s">
        <v>856</v>
      </c>
      <c r="D817" s="36"/>
    </row>
    <row r="818" ht="14.25" customHeight="1">
      <c r="A818" s="38">
        <v>39.378739</v>
      </c>
      <c r="B818" s="38">
        <v>-112.939794</v>
      </c>
      <c r="C818" s="39" t="s">
        <v>857</v>
      </c>
      <c r="D818" s="36"/>
    </row>
    <row r="819" ht="14.25" customHeight="1">
      <c r="A819" s="38">
        <v>39.389528</v>
      </c>
      <c r="B819" s="38">
        <v>-112.939887</v>
      </c>
      <c r="C819" s="39" t="s">
        <v>858</v>
      </c>
      <c r="D819" s="36"/>
    </row>
    <row r="820" ht="14.25" customHeight="1">
      <c r="A820" s="38">
        <v>39.314025</v>
      </c>
      <c r="B820" s="38">
        <v>-112.925942</v>
      </c>
      <c r="C820" s="39" t="s">
        <v>859</v>
      </c>
      <c r="D820" s="36"/>
    </row>
    <row r="821" ht="14.25" customHeight="1">
      <c r="A821" s="38">
        <v>39.324679</v>
      </c>
      <c r="B821" s="38">
        <v>-112.92596</v>
      </c>
      <c r="C821" s="39" t="s">
        <v>860</v>
      </c>
      <c r="D821" s="36"/>
    </row>
    <row r="822" ht="14.25" customHeight="1">
      <c r="A822" s="38">
        <v>39.33551</v>
      </c>
      <c r="B822" s="38">
        <v>-112.926</v>
      </c>
      <c r="C822" s="39" t="s">
        <v>861</v>
      </c>
      <c r="D822" s="36"/>
    </row>
    <row r="823" ht="14.25" customHeight="1">
      <c r="A823" s="38">
        <v>39.346237</v>
      </c>
      <c r="B823" s="38">
        <v>-112.925938</v>
      </c>
      <c r="C823" s="39" t="s">
        <v>862</v>
      </c>
      <c r="D823" s="36"/>
    </row>
    <row r="824" ht="14.25" customHeight="1">
      <c r="A824" s="38">
        <v>39.357078</v>
      </c>
      <c r="B824" s="38">
        <v>-112.925944</v>
      </c>
      <c r="C824" s="39" t="s">
        <v>863</v>
      </c>
      <c r="D824" s="36"/>
    </row>
    <row r="825" ht="14.25" customHeight="1">
      <c r="A825" s="38">
        <v>39.367958</v>
      </c>
      <c r="B825" s="38">
        <v>-112.925827</v>
      </c>
      <c r="C825" s="39" t="s">
        <v>864</v>
      </c>
      <c r="D825" s="36"/>
    </row>
    <row r="826" ht="14.25" customHeight="1">
      <c r="A826" s="38">
        <v>39.378737</v>
      </c>
      <c r="B826" s="38">
        <v>-112.925882</v>
      </c>
      <c r="C826" s="39" t="s">
        <v>865</v>
      </c>
      <c r="D826" s="36"/>
    </row>
    <row r="827" ht="14.25" customHeight="1">
      <c r="A827" s="38">
        <v>39.389554</v>
      </c>
      <c r="B827" s="38">
        <v>-112.925903</v>
      </c>
      <c r="C827" s="39" t="s">
        <v>866</v>
      </c>
      <c r="D827" s="36"/>
    </row>
    <row r="828" ht="14.25" customHeight="1">
      <c r="A828" s="38">
        <v>39.400328</v>
      </c>
      <c r="B828" s="38">
        <v>-112.92575</v>
      </c>
      <c r="C828" s="39" t="s">
        <v>867</v>
      </c>
      <c r="D828" s="36"/>
    </row>
    <row r="829" ht="14.25" customHeight="1">
      <c r="A829" s="38">
        <v>39.313858</v>
      </c>
      <c r="B829" s="38">
        <v>-112.912047</v>
      </c>
      <c r="C829" s="39" t="s">
        <v>868</v>
      </c>
      <c r="D829" s="36"/>
    </row>
    <row r="830" ht="14.25" customHeight="1">
      <c r="A830" s="38">
        <v>39.324661</v>
      </c>
      <c r="B830" s="38">
        <v>-112.911967</v>
      </c>
      <c r="C830" s="39" t="s">
        <v>869</v>
      </c>
      <c r="D830" s="36"/>
    </row>
    <row r="831" ht="14.25" customHeight="1">
      <c r="A831" s="38">
        <v>39.335455</v>
      </c>
      <c r="B831" s="38">
        <v>-112.911967</v>
      </c>
      <c r="C831" s="39" t="s">
        <v>870</v>
      </c>
      <c r="D831" s="36"/>
    </row>
    <row r="832" ht="14.25" customHeight="1">
      <c r="A832" s="38">
        <v>39.346328</v>
      </c>
      <c r="B832" s="38">
        <v>-112.912026</v>
      </c>
      <c r="C832" s="39" t="s">
        <v>871</v>
      </c>
      <c r="D832" s="36"/>
    </row>
    <row r="833" ht="14.25" customHeight="1">
      <c r="A833" s="38">
        <v>39.357088</v>
      </c>
      <c r="B833" s="38">
        <v>-112.911851</v>
      </c>
      <c r="C833" s="39" t="s">
        <v>872</v>
      </c>
      <c r="D833" s="36"/>
    </row>
    <row r="834" ht="14.25" customHeight="1">
      <c r="A834" s="38">
        <v>39.36795</v>
      </c>
      <c r="B834" s="38">
        <v>-112.911931</v>
      </c>
      <c r="C834" s="39" t="s">
        <v>873</v>
      </c>
      <c r="D834" s="36"/>
    </row>
    <row r="835" ht="14.25" customHeight="1">
      <c r="A835" s="38">
        <v>39.378786</v>
      </c>
      <c r="B835" s="38">
        <v>-112.911883</v>
      </c>
      <c r="C835" s="39" t="s">
        <v>874</v>
      </c>
      <c r="D835" s="36"/>
    </row>
    <row r="836" ht="14.25" customHeight="1">
      <c r="A836" s="38">
        <v>39.38953</v>
      </c>
      <c r="B836" s="38">
        <v>-112.911949</v>
      </c>
      <c r="C836" s="39" t="s">
        <v>875</v>
      </c>
      <c r="D836" s="36"/>
    </row>
    <row r="837" ht="14.25" customHeight="1">
      <c r="A837" s="38">
        <v>39.400363</v>
      </c>
      <c r="B837" s="38">
        <v>-112.911934</v>
      </c>
      <c r="C837" s="39" t="s">
        <v>876</v>
      </c>
      <c r="D837" s="36"/>
    </row>
    <row r="838" ht="14.25" customHeight="1">
      <c r="A838" s="38">
        <v>39.313829</v>
      </c>
      <c r="B838" s="38">
        <v>-112.898132</v>
      </c>
      <c r="C838" s="39" t="s">
        <v>877</v>
      </c>
      <c r="D838" s="36"/>
    </row>
    <row r="839" ht="14.25" customHeight="1">
      <c r="A839" s="38">
        <v>39.324599</v>
      </c>
      <c r="B839" s="38">
        <v>-112.898109</v>
      </c>
      <c r="C839" s="39" t="s">
        <v>878</v>
      </c>
      <c r="D839" s="36"/>
    </row>
    <row r="840" ht="14.25" customHeight="1">
      <c r="A840" s="38">
        <v>39.335554</v>
      </c>
      <c r="B840" s="38">
        <v>-112.898056</v>
      </c>
      <c r="C840" s="39" t="s">
        <v>879</v>
      </c>
      <c r="D840" s="36"/>
    </row>
    <row r="841" ht="14.25" customHeight="1">
      <c r="A841" s="38">
        <v>39.346269</v>
      </c>
      <c r="B841" s="38">
        <v>-112.898081</v>
      </c>
      <c r="C841" s="39" t="s">
        <v>880</v>
      </c>
      <c r="D841" s="36"/>
    </row>
    <row r="842" ht="14.25" customHeight="1">
      <c r="A842" s="38">
        <v>39.357062</v>
      </c>
      <c r="B842" s="38">
        <v>-112.898112</v>
      </c>
      <c r="C842" s="39" t="s">
        <v>881</v>
      </c>
      <c r="D842" s="36"/>
    </row>
    <row r="843" ht="14.25" customHeight="1">
      <c r="A843" s="38">
        <v>39.36795</v>
      </c>
      <c r="B843" s="38">
        <v>-112.898072</v>
      </c>
      <c r="C843" s="39" t="s">
        <v>882</v>
      </c>
      <c r="D843" s="36"/>
    </row>
    <row r="844" ht="14.25" customHeight="1">
      <c r="A844" s="38">
        <v>39.378704</v>
      </c>
      <c r="B844" s="38">
        <v>-112.897927</v>
      </c>
      <c r="C844" s="39" t="s">
        <v>883</v>
      </c>
      <c r="D844" s="36"/>
    </row>
    <row r="845" ht="14.25" customHeight="1">
      <c r="A845" s="38">
        <v>39.389536</v>
      </c>
      <c r="B845" s="38">
        <v>-112.898034</v>
      </c>
      <c r="C845" s="39" t="s">
        <v>884</v>
      </c>
      <c r="D845" s="36"/>
    </row>
    <row r="846" ht="14.25" customHeight="1">
      <c r="A846" s="38">
        <v>39.400337</v>
      </c>
      <c r="B846" s="38">
        <v>-112.897838</v>
      </c>
      <c r="C846" s="39" t="s">
        <v>885</v>
      </c>
      <c r="D846" s="36"/>
    </row>
    <row r="847" ht="14.25" customHeight="1">
      <c r="A847" s="38">
        <v>39.409919</v>
      </c>
      <c r="B847" s="38">
        <v>-112.896523</v>
      </c>
      <c r="C847" s="39" t="s">
        <v>886</v>
      </c>
      <c r="D847" s="36"/>
    </row>
    <row r="848" ht="14.25" customHeight="1">
      <c r="A848" s="38">
        <v>39.313781</v>
      </c>
      <c r="B848" s="38">
        <v>-112.884273</v>
      </c>
      <c r="C848" s="39" t="s">
        <v>887</v>
      </c>
      <c r="D848" s="36"/>
    </row>
    <row r="849" ht="14.25" customHeight="1">
      <c r="A849" s="38">
        <v>39.324719</v>
      </c>
      <c r="B849" s="38">
        <v>-112.884361</v>
      </c>
      <c r="C849" s="39" t="s">
        <v>888</v>
      </c>
      <c r="D849" s="36"/>
    </row>
    <row r="850" ht="14.25" customHeight="1">
      <c r="A850" s="38">
        <v>39.335503</v>
      </c>
      <c r="B850" s="38">
        <v>-112.884239</v>
      </c>
      <c r="C850" s="39" t="s">
        <v>889</v>
      </c>
      <c r="D850" s="36"/>
    </row>
    <row r="851" ht="14.25" customHeight="1">
      <c r="A851" s="38">
        <v>39.346259</v>
      </c>
      <c r="B851" s="38">
        <v>-112.884094</v>
      </c>
      <c r="C851" s="39" t="s">
        <v>890</v>
      </c>
      <c r="D851" s="36"/>
    </row>
    <row r="852" ht="14.25" customHeight="1">
      <c r="A852" s="38">
        <v>39.357088</v>
      </c>
      <c r="B852" s="38">
        <v>-112.88411</v>
      </c>
      <c r="C852" s="39" t="s">
        <v>891</v>
      </c>
      <c r="D852" s="36"/>
    </row>
    <row r="853" ht="14.25" customHeight="1">
      <c r="A853" s="38">
        <v>39.367951</v>
      </c>
      <c r="B853" s="38">
        <v>-112.884146</v>
      </c>
      <c r="C853" s="39" t="s">
        <v>892</v>
      </c>
      <c r="D853" s="36"/>
    </row>
    <row r="854" ht="14.25" customHeight="1">
      <c r="A854" s="38">
        <v>39.378775</v>
      </c>
      <c r="B854" s="38">
        <v>-112.884121</v>
      </c>
      <c r="C854" s="39" t="s">
        <v>893</v>
      </c>
      <c r="D854" s="36"/>
    </row>
    <row r="855" ht="14.25" customHeight="1">
      <c r="A855" s="38">
        <v>39.389501</v>
      </c>
      <c r="B855" s="38">
        <v>-112.884055</v>
      </c>
      <c r="C855" s="39" t="s">
        <v>894</v>
      </c>
      <c r="D855" s="36"/>
    </row>
    <row r="856" ht="14.25" customHeight="1">
      <c r="A856" s="38">
        <v>39.400271</v>
      </c>
      <c r="B856" s="38">
        <v>-112.883973</v>
      </c>
      <c r="C856" s="39" t="s">
        <v>895</v>
      </c>
      <c r="D856" s="36"/>
    </row>
    <row r="857" ht="14.25" customHeight="1">
      <c r="A857" s="38">
        <v>39.410962</v>
      </c>
      <c r="B857" s="38">
        <v>-112.883865</v>
      </c>
      <c r="C857" s="39" t="s">
        <v>896</v>
      </c>
      <c r="D857" s="36"/>
    </row>
    <row r="858" ht="14.25" customHeight="1">
      <c r="A858" s="38">
        <v>39.421721</v>
      </c>
      <c r="B858" s="38">
        <v>-112.883885</v>
      </c>
      <c r="C858" s="39" t="s">
        <v>897</v>
      </c>
      <c r="D858" s="36"/>
    </row>
    <row r="859" ht="14.25" customHeight="1">
      <c r="A859" s="38">
        <v>39.313786</v>
      </c>
      <c r="B859" s="38">
        <v>-112.870227</v>
      </c>
      <c r="C859" s="39" t="s">
        <v>898</v>
      </c>
      <c r="D859" s="36"/>
    </row>
    <row r="860" ht="14.25" customHeight="1">
      <c r="A860" s="38">
        <v>39.324543</v>
      </c>
      <c r="B860" s="38">
        <v>-112.873424</v>
      </c>
      <c r="C860" s="39" t="s">
        <v>899</v>
      </c>
      <c r="D860" s="36"/>
    </row>
    <row r="861" ht="14.25" customHeight="1">
      <c r="A861" s="38">
        <v>39.335392</v>
      </c>
      <c r="B861" s="38">
        <v>-112.870173</v>
      </c>
      <c r="C861" s="39" t="s">
        <v>900</v>
      </c>
      <c r="D861" s="36"/>
    </row>
    <row r="862" ht="14.25" customHeight="1">
      <c r="A862" s="38">
        <v>39.346033</v>
      </c>
      <c r="B862" s="38">
        <v>-112.870278</v>
      </c>
      <c r="C862" s="39" t="s">
        <v>901</v>
      </c>
      <c r="D862" s="36"/>
    </row>
    <row r="863" ht="14.25" customHeight="1">
      <c r="A863" s="38">
        <v>39.356993</v>
      </c>
      <c r="B863" s="38">
        <v>-112.870073</v>
      </c>
      <c r="C863" s="39" t="s">
        <v>902</v>
      </c>
      <c r="D863" s="36"/>
    </row>
    <row r="864" ht="14.25" customHeight="1">
      <c r="A864" s="38">
        <v>39.367862</v>
      </c>
      <c r="B864" s="38">
        <v>-112.870183</v>
      </c>
      <c r="C864" s="39" t="s">
        <v>903</v>
      </c>
      <c r="D864" s="36"/>
    </row>
    <row r="865" ht="14.25" customHeight="1">
      <c r="A865" s="38">
        <v>39.378478</v>
      </c>
      <c r="B865" s="38">
        <v>-112.870364</v>
      </c>
      <c r="C865" s="39" t="s">
        <v>904</v>
      </c>
      <c r="D865" s="36"/>
    </row>
    <row r="866" ht="14.25" customHeight="1">
      <c r="A866" s="38">
        <v>39.3895</v>
      </c>
      <c r="B866" s="38">
        <v>-112.870195</v>
      </c>
      <c r="C866" s="39" t="s">
        <v>905</v>
      </c>
      <c r="D866" s="36"/>
    </row>
    <row r="867" ht="14.25" customHeight="1">
      <c r="A867" s="38">
        <v>39.400226</v>
      </c>
      <c r="B867" s="38">
        <v>-112.870042</v>
      </c>
      <c r="C867" s="39" t="s">
        <v>906</v>
      </c>
      <c r="D867" s="36"/>
    </row>
    <row r="868" ht="14.25" customHeight="1">
      <c r="A868" s="38">
        <v>39.411148</v>
      </c>
      <c r="B868" s="38">
        <v>-112.870117</v>
      </c>
      <c r="C868" s="39" t="s">
        <v>907</v>
      </c>
      <c r="D868" s="36"/>
    </row>
    <row r="869" ht="14.25" customHeight="1">
      <c r="A869" s="38">
        <v>39.421854</v>
      </c>
      <c r="B869" s="38">
        <v>-112.870056</v>
      </c>
      <c r="C869" s="39" t="s">
        <v>908</v>
      </c>
      <c r="D869" s="36"/>
    </row>
    <row r="870" ht="14.25" customHeight="1">
      <c r="A870" s="38">
        <v>39.313839</v>
      </c>
      <c r="B870" s="38">
        <v>-112.856408</v>
      </c>
      <c r="C870" s="39" t="s">
        <v>909</v>
      </c>
      <c r="D870" s="36"/>
    </row>
    <row r="871" ht="14.25" customHeight="1">
      <c r="A871" s="38">
        <v>39.327512</v>
      </c>
      <c r="B871" s="38">
        <v>-112.856425</v>
      </c>
      <c r="C871" s="39" t="s">
        <v>910</v>
      </c>
      <c r="D871" s="36"/>
    </row>
    <row r="872" ht="14.25" customHeight="1">
      <c r="A872" s="38">
        <v>39.335248</v>
      </c>
      <c r="B872" s="38">
        <v>-112.856381</v>
      </c>
      <c r="C872" s="39" t="s">
        <v>911</v>
      </c>
      <c r="D872" s="36"/>
    </row>
    <row r="873" ht="14.25" customHeight="1">
      <c r="A873" s="38">
        <v>39.346147</v>
      </c>
      <c r="B873" s="38">
        <v>-112.856338</v>
      </c>
      <c r="C873" s="39" t="s">
        <v>912</v>
      </c>
      <c r="D873" s="36"/>
    </row>
    <row r="874" ht="14.25" customHeight="1">
      <c r="A874" s="38">
        <v>39.359506</v>
      </c>
      <c r="B874" s="38">
        <v>-112.856257</v>
      </c>
      <c r="C874" s="39" t="s">
        <v>913</v>
      </c>
      <c r="D874" s="36"/>
    </row>
    <row r="875" ht="14.25" customHeight="1">
      <c r="A875" s="38">
        <v>39.367847</v>
      </c>
      <c r="B875" s="38">
        <v>-112.856186</v>
      </c>
      <c r="C875" s="39" t="s">
        <v>914</v>
      </c>
      <c r="D875" s="36"/>
    </row>
    <row r="876" ht="14.25" customHeight="1">
      <c r="A876" s="38">
        <v>39.378688</v>
      </c>
      <c r="B876" s="38">
        <v>-112.856237</v>
      </c>
      <c r="C876" s="39" t="s">
        <v>915</v>
      </c>
      <c r="D876" s="36"/>
    </row>
    <row r="877" ht="14.25" customHeight="1">
      <c r="A877" s="38">
        <v>39.389423</v>
      </c>
      <c r="B877" s="38">
        <v>-112.856215</v>
      </c>
      <c r="C877" s="39" t="s">
        <v>916</v>
      </c>
      <c r="D877" s="36"/>
    </row>
    <row r="878" ht="14.25" customHeight="1">
      <c r="A878" s="38">
        <v>39.400296</v>
      </c>
      <c r="B878" s="38">
        <v>-112.856189</v>
      </c>
      <c r="C878" s="39" t="s">
        <v>917</v>
      </c>
      <c r="D878" s="36"/>
    </row>
    <row r="879" ht="14.25" customHeight="1">
      <c r="A879" s="38">
        <v>39.410909</v>
      </c>
      <c r="B879" s="38">
        <v>-112.856826</v>
      </c>
      <c r="C879" s="39" t="s">
        <v>918</v>
      </c>
      <c r="D879" s="36"/>
    </row>
    <row r="880" ht="14.25" customHeight="1">
      <c r="A880" s="38">
        <v>39.420919</v>
      </c>
      <c r="B880" s="38">
        <v>-112.859149</v>
      </c>
      <c r="C880" s="39" t="s">
        <v>919</v>
      </c>
      <c r="D880" s="36"/>
    </row>
    <row r="881" ht="14.25" customHeight="1">
      <c r="A881" s="38">
        <v>39.313757</v>
      </c>
      <c r="B881" s="38">
        <v>-112.842451</v>
      </c>
      <c r="C881" s="39" t="s">
        <v>920</v>
      </c>
      <c r="D881" s="36"/>
    </row>
    <row r="882" ht="14.25" customHeight="1">
      <c r="A882" s="38">
        <v>39.324451</v>
      </c>
      <c r="B882" s="38">
        <v>-112.84234</v>
      </c>
      <c r="C882" s="39" t="s">
        <v>921</v>
      </c>
      <c r="D882" s="36"/>
    </row>
    <row r="883" ht="14.25" customHeight="1">
      <c r="A883" s="38">
        <v>39.335387</v>
      </c>
      <c r="B883" s="38">
        <v>-112.842348</v>
      </c>
      <c r="C883" s="39" t="s">
        <v>922</v>
      </c>
      <c r="D883" s="36"/>
    </row>
    <row r="884" ht="14.25" customHeight="1">
      <c r="A884" s="38">
        <v>39.34617</v>
      </c>
      <c r="B884" s="38">
        <v>-112.842377</v>
      </c>
      <c r="C884" s="39" t="s">
        <v>923</v>
      </c>
      <c r="D884" s="36"/>
    </row>
    <row r="885" ht="14.25" customHeight="1">
      <c r="A885" s="38">
        <v>39.357011</v>
      </c>
      <c r="B885" s="38">
        <v>-112.842362</v>
      </c>
      <c r="C885" s="39" t="s">
        <v>924</v>
      </c>
      <c r="D885" s="36"/>
    </row>
    <row r="886" ht="14.25" customHeight="1">
      <c r="A886" s="38">
        <v>39.367761</v>
      </c>
      <c r="B886" s="38">
        <v>-112.842351</v>
      </c>
      <c r="C886" s="39" t="s">
        <v>925</v>
      </c>
      <c r="D886" s="36"/>
    </row>
    <row r="887" ht="14.25" customHeight="1">
      <c r="A887" s="38">
        <v>39.378626</v>
      </c>
      <c r="B887" s="38">
        <v>-112.842527</v>
      </c>
      <c r="C887" s="39" t="s">
        <v>926</v>
      </c>
      <c r="D887" s="36"/>
    </row>
    <row r="888" ht="14.25" customHeight="1">
      <c r="A888" s="38">
        <v>39.389321</v>
      </c>
      <c r="B888" s="38">
        <v>-112.842254</v>
      </c>
      <c r="C888" s="39" t="s">
        <v>927</v>
      </c>
      <c r="D888" s="36"/>
    </row>
    <row r="889" ht="14.25" customHeight="1">
      <c r="A889" s="38">
        <v>39.400229</v>
      </c>
      <c r="B889" s="38">
        <v>-112.842178</v>
      </c>
      <c r="C889" s="39" t="s">
        <v>928</v>
      </c>
      <c r="D889" s="36"/>
    </row>
    <row r="890" ht="14.25" customHeight="1">
      <c r="A890" s="38">
        <v>39.411024</v>
      </c>
      <c r="B890" s="38">
        <v>-112.842159</v>
      </c>
      <c r="C890" s="39" t="s">
        <v>929</v>
      </c>
      <c r="D890" s="36"/>
    </row>
    <row r="891" ht="14.25" customHeight="1">
      <c r="A891" s="38">
        <v>39.421831</v>
      </c>
      <c r="B891" s="38">
        <v>-112.842206</v>
      </c>
      <c r="C891" s="39" t="s">
        <v>930</v>
      </c>
      <c r="D891" s="36"/>
    </row>
    <row r="892" ht="14.25" customHeight="1">
      <c r="A892" s="38">
        <v>39.313745</v>
      </c>
      <c r="B892" s="38">
        <v>-112.828504</v>
      </c>
      <c r="C892" s="39" t="s">
        <v>931</v>
      </c>
      <c r="D892" s="36"/>
    </row>
    <row r="893" ht="14.25" customHeight="1">
      <c r="A893" s="38">
        <v>39.324533</v>
      </c>
      <c r="B893" s="38">
        <v>-112.828492</v>
      </c>
      <c r="C893" s="39" t="s">
        <v>932</v>
      </c>
      <c r="D893" s="36"/>
    </row>
    <row r="894" ht="14.25" customHeight="1">
      <c r="A894" s="38">
        <v>39.335319</v>
      </c>
      <c r="B894" s="38">
        <v>-112.828497</v>
      </c>
      <c r="C894" s="39" t="s">
        <v>933</v>
      </c>
      <c r="D894" s="36"/>
    </row>
    <row r="895" ht="14.25" customHeight="1">
      <c r="A895" s="38">
        <v>39.347047</v>
      </c>
      <c r="B895" s="38">
        <v>-112.829496</v>
      </c>
      <c r="C895" s="39" t="s">
        <v>934</v>
      </c>
      <c r="D895" s="36"/>
    </row>
    <row r="896" ht="14.25" customHeight="1">
      <c r="A896" s="38">
        <v>39.356478</v>
      </c>
      <c r="B896" s="38">
        <v>-112.828619</v>
      </c>
      <c r="C896" s="39" t="s">
        <v>935</v>
      </c>
      <c r="D896" s="36"/>
    </row>
    <row r="897" ht="14.25" customHeight="1">
      <c r="A897" s="38">
        <v>39.367337</v>
      </c>
      <c r="B897" s="38">
        <v>-112.828467</v>
      </c>
      <c r="C897" s="39" t="s">
        <v>936</v>
      </c>
      <c r="D897" s="36"/>
    </row>
    <row r="898" ht="14.25" customHeight="1">
      <c r="A898" s="38">
        <v>39.378509</v>
      </c>
      <c r="B898" s="38">
        <v>-112.828215</v>
      </c>
      <c r="C898" s="39" t="s">
        <v>937</v>
      </c>
      <c r="D898" s="36"/>
    </row>
    <row r="899" ht="14.25" customHeight="1">
      <c r="A899" s="38">
        <v>39.389547</v>
      </c>
      <c r="B899" s="38">
        <v>-112.828296</v>
      </c>
      <c r="C899" s="39" t="s">
        <v>938</v>
      </c>
      <c r="D899" s="36"/>
    </row>
    <row r="900" ht="14.25" customHeight="1">
      <c r="A900" s="38">
        <v>39.400275</v>
      </c>
      <c r="B900" s="38">
        <v>-112.828332</v>
      </c>
      <c r="C900" s="39" t="s">
        <v>939</v>
      </c>
      <c r="D900" s="36"/>
    </row>
    <row r="901" ht="14.25" customHeight="1">
      <c r="A901" s="38">
        <v>39.411138</v>
      </c>
      <c r="B901" s="38">
        <v>-112.828308</v>
      </c>
      <c r="C901" s="39" t="s">
        <v>940</v>
      </c>
      <c r="D901" s="36"/>
    </row>
    <row r="902" ht="14.25" customHeight="1">
      <c r="A902" s="38">
        <v>39.421804</v>
      </c>
      <c r="B902" s="38">
        <v>-112.828172</v>
      </c>
      <c r="C902" s="39" t="s">
        <v>941</v>
      </c>
      <c r="D902" s="36"/>
    </row>
    <row r="903" ht="14.25" customHeight="1">
      <c r="A903" s="38">
        <v>39.313654</v>
      </c>
      <c r="B903" s="38">
        <v>-112.814607</v>
      </c>
      <c r="C903" s="39" t="s">
        <v>942</v>
      </c>
      <c r="D903" s="36"/>
    </row>
    <row r="904" ht="14.25" customHeight="1">
      <c r="A904" s="38">
        <v>39.324493</v>
      </c>
      <c r="B904" s="38">
        <v>-112.814695</v>
      </c>
      <c r="C904" s="39" t="s">
        <v>943</v>
      </c>
      <c r="D904" s="36"/>
    </row>
    <row r="905" ht="14.25" customHeight="1">
      <c r="A905" s="38">
        <v>39.33499</v>
      </c>
      <c r="B905" s="38">
        <v>-112.814676</v>
      </c>
      <c r="C905" s="39" t="s">
        <v>944</v>
      </c>
      <c r="D905" s="36"/>
    </row>
    <row r="906" ht="14.25" customHeight="1">
      <c r="A906" s="38">
        <v>39.346139</v>
      </c>
      <c r="B906" s="38">
        <v>-112.814494</v>
      </c>
      <c r="C906" s="39" t="s">
        <v>945</v>
      </c>
      <c r="D906" s="36"/>
    </row>
    <row r="907" ht="14.25" customHeight="1">
      <c r="A907" s="38">
        <v>39.356574</v>
      </c>
      <c r="B907" s="38">
        <v>-112.814382</v>
      </c>
      <c r="C907" s="39" t="s">
        <v>946</v>
      </c>
      <c r="D907" s="36"/>
    </row>
    <row r="908" ht="14.25" customHeight="1">
      <c r="A908" s="38">
        <v>39.367767</v>
      </c>
      <c r="B908" s="38">
        <v>-112.814501</v>
      </c>
      <c r="C908" s="39" t="s">
        <v>947</v>
      </c>
      <c r="D908" s="36"/>
    </row>
    <row r="909" ht="14.25" customHeight="1">
      <c r="A909" s="38">
        <v>39.378508</v>
      </c>
      <c r="B909" s="38">
        <v>-112.814408</v>
      </c>
      <c r="C909" s="39" t="s">
        <v>948</v>
      </c>
      <c r="D909" s="36"/>
    </row>
    <row r="910" ht="14.25" customHeight="1">
      <c r="A910" s="38">
        <v>39.389274</v>
      </c>
      <c r="B910" s="38">
        <v>-112.814665</v>
      </c>
      <c r="C910" s="39" t="s">
        <v>949</v>
      </c>
      <c r="D910" s="36"/>
    </row>
    <row r="911" ht="14.25" customHeight="1">
      <c r="A911" s="38">
        <v>39.400154</v>
      </c>
      <c r="B911" s="38">
        <v>-112.814301</v>
      </c>
      <c r="C911" s="39" t="s">
        <v>950</v>
      </c>
      <c r="D911" s="36"/>
    </row>
    <row r="912" ht="14.25" customHeight="1">
      <c r="A912" s="38">
        <v>39.410929</v>
      </c>
      <c r="B912" s="38">
        <v>-112.814296</v>
      </c>
      <c r="C912" s="39" t="s">
        <v>951</v>
      </c>
      <c r="D912" s="36"/>
    </row>
    <row r="913" ht="14.25" customHeight="1">
      <c r="A913" s="38">
        <v>39.31367</v>
      </c>
      <c r="B913" s="38">
        <v>-112.800684</v>
      </c>
      <c r="C913" s="39" t="s">
        <v>952</v>
      </c>
      <c r="D913" s="36"/>
    </row>
    <row r="914" ht="14.25" customHeight="1">
      <c r="A914" s="38">
        <v>39.324513</v>
      </c>
      <c r="B914" s="38">
        <v>-112.800686</v>
      </c>
      <c r="C914" s="39" t="s">
        <v>953</v>
      </c>
      <c r="D914" s="36"/>
    </row>
    <row r="915" ht="14.25" customHeight="1">
      <c r="A915" s="38">
        <v>39.335348</v>
      </c>
      <c r="B915" s="38">
        <v>-112.800843</v>
      </c>
      <c r="C915" s="39" t="s">
        <v>954</v>
      </c>
      <c r="D915" s="36"/>
    </row>
    <row r="916" ht="14.25" customHeight="1">
      <c r="A916" s="38">
        <v>39.346099</v>
      </c>
      <c r="B916" s="38">
        <v>-112.800323</v>
      </c>
      <c r="C916" s="39" t="s">
        <v>955</v>
      </c>
      <c r="D916" s="36"/>
    </row>
    <row r="917" ht="14.25" customHeight="1">
      <c r="A917" s="38">
        <v>39.356184</v>
      </c>
      <c r="B917" s="38">
        <v>-112.800746</v>
      </c>
      <c r="C917" s="39" t="s">
        <v>956</v>
      </c>
      <c r="D917" s="36"/>
    </row>
    <row r="918" ht="14.25" customHeight="1">
      <c r="A918" s="38">
        <v>39.367714</v>
      </c>
      <c r="B918" s="38">
        <v>-112.800555</v>
      </c>
      <c r="C918" s="39" t="s">
        <v>957</v>
      </c>
      <c r="D918" s="36"/>
    </row>
    <row r="919" ht="14.25" customHeight="1">
      <c r="A919" s="38">
        <v>39.378542</v>
      </c>
      <c r="B919" s="38">
        <v>-112.800518</v>
      </c>
      <c r="C919" s="39" t="s">
        <v>958</v>
      </c>
      <c r="D919" s="36"/>
    </row>
    <row r="920" ht="14.25" customHeight="1">
      <c r="A920" s="38">
        <v>39.389852</v>
      </c>
      <c r="B920" s="38">
        <v>-112.800887</v>
      </c>
      <c r="C920" s="39" t="s">
        <v>959</v>
      </c>
      <c r="D920" s="36"/>
    </row>
    <row r="921" ht="14.25" customHeight="1">
      <c r="A921" s="38">
        <v>39.313681</v>
      </c>
      <c r="B921" s="38">
        <v>-112.786792</v>
      </c>
      <c r="C921" s="39" t="s">
        <v>960</v>
      </c>
      <c r="D921" s="36"/>
    </row>
    <row r="922" ht="14.25" customHeight="1">
      <c r="A922" s="38">
        <v>39.324517</v>
      </c>
      <c r="B922" s="38">
        <v>-112.786806</v>
      </c>
      <c r="C922" s="39" t="s">
        <v>961</v>
      </c>
      <c r="D922" s="36"/>
    </row>
    <row r="923" ht="14.25" customHeight="1">
      <c r="A923" s="38">
        <v>39.335298</v>
      </c>
      <c r="B923" s="38">
        <v>-112.78672</v>
      </c>
      <c r="C923" s="39" t="s">
        <v>962</v>
      </c>
      <c r="D923" s="36"/>
    </row>
    <row r="924" ht="14.25" customHeight="1">
      <c r="A924" s="38">
        <v>39.345523</v>
      </c>
      <c r="B924" s="38">
        <v>-112.786666</v>
      </c>
      <c r="C924" s="39" t="s">
        <v>963</v>
      </c>
      <c r="D924" s="36"/>
    </row>
    <row r="925" ht="14.25" customHeight="1">
      <c r="A925" s="38">
        <v>39.356833</v>
      </c>
      <c r="B925" s="38">
        <v>-112.786415</v>
      </c>
      <c r="C925" s="39" t="s">
        <v>964</v>
      </c>
      <c r="D925" s="36"/>
    </row>
    <row r="926" ht="14.25" customHeight="1">
      <c r="A926" s="38">
        <v>39.366854</v>
      </c>
      <c r="B926" s="38">
        <v>-112.785457</v>
      </c>
      <c r="C926" s="39" t="s">
        <v>965</v>
      </c>
      <c r="D926" s="36"/>
    </row>
    <row r="927" ht="14.25" customHeight="1">
      <c r="A927" s="38">
        <v>39.313575</v>
      </c>
      <c r="B927" s="38">
        <v>-112.772916</v>
      </c>
      <c r="C927" s="39" t="s">
        <v>966</v>
      </c>
      <c r="D927" s="36"/>
    </row>
    <row r="928" ht="14.25" customHeight="1">
      <c r="A928" s="38">
        <v>39.324484</v>
      </c>
      <c r="B928" s="38">
        <v>-112.773038</v>
      </c>
      <c r="C928" s="39" t="s">
        <v>967</v>
      </c>
      <c r="D928" s="36"/>
    </row>
    <row r="929" ht="14.25" customHeight="1">
      <c r="A929" s="38">
        <v>39.335217</v>
      </c>
      <c r="B929" s="38">
        <v>-112.772701</v>
      </c>
      <c r="C929" s="39" t="s">
        <v>968</v>
      </c>
      <c r="D929" s="36"/>
    </row>
    <row r="930" ht="14.25" customHeight="1">
      <c r="A930" s="38">
        <v>39.248663</v>
      </c>
      <c r="B930" s="38">
        <v>-112.745305</v>
      </c>
      <c r="C930" s="39" t="s">
        <v>969</v>
      </c>
      <c r="D930" s="36"/>
    </row>
    <row r="931" ht="14.25" customHeight="1">
      <c r="A931" s="38">
        <v>39.129861</v>
      </c>
      <c r="B931" s="38">
        <v>-112.898639</v>
      </c>
      <c r="C931" s="39" t="s">
        <v>970</v>
      </c>
      <c r="D931" s="36"/>
    </row>
    <row r="932" ht="14.25" customHeight="1">
      <c r="A932" s="38">
        <v>39.140369</v>
      </c>
      <c r="B932" s="38">
        <v>-112.898487</v>
      </c>
      <c r="C932" s="39" t="s">
        <v>971</v>
      </c>
      <c r="D932" s="36"/>
    </row>
    <row r="933" ht="14.25" customHeight="1">
      <c r="A933" s="38">
        <v>39.15159</v>
      </c>
      <c r="B933" s="38">
        <v>-112.898468</v>
      </c>
      <c r="C933" s="39" t="s">
        <v>972</v>
      </c>
      <c r="D933" s="36"/>
    </row>
    <row r="934" ht="14.25" customHeight="1">
      <c r="A934" s="38">
        <v>39.162444</v>
      </c>
      <c r="B934" s="38">
        <v>-112.898431</v>
      </c>
      <c r="C934" s="39" t="s">
        <v>973</v>
      </c>
      <c r="D934" s="36"/>
    </row>
    <row r="935" ht="14.25" customHeight="1">
      <c r="A935" s="38">
        <v>39.173161</v>
      </c>
      <c r="B935" s="38">
        <v>-112.898661</v>
      </c>
      <c r="C935" s="39" t="s">
        <v>974</v>
      </c>
      <c r="D935" s="36"/>
    </row>
    <row r="936" ht="14.25" customHeight="1">
      <c r="A936" s="38">
        <v>39.184142</v>
      </c>
      <c r="B936" s="38">
        <v>-112.897936</v>
      </c>
      <c r="C936" s="39" t="s">
        <v>975</v>
      </c>
      <c r="D936" s="36"/>
    </row>
    <row r="937" ht="14.25" customHeight="1">
      <c r="A937" s="38">
        <v>39.195054</v>
      </c>
      <c r="B937" s="38">
        <v>-112.897951</v>
      </c>
      <c r="C937" s="39" t="s">
        <v>976</v>
      </c>
      <c r="D937" s="36"/>
    </row>
    <row r="938" ht="14.25" customHeight="1">
      <c r="A938" s="38">
        <v>39.205697</v>
      </c>
      <c r="B938" s="38">
        <v>-112.898382</v>
      </c>
      <c r="C938" s="39" t="s">
        <v>977</v>
      </c>
      <c r="D938" s="36"/>
    </row>
    <row r="939" ht="14.25" customHeight="1">
      <c r="A939" s="38">
        <v>39.216437</v>
      </c>
      <c r="B939" s="38">
        <v>-112.898347</v>
      </c>
      <c r="C939" s="39" t="s">
        <v>978</v>
      </c>
      <c r="D939" s="36"/>
    </row>
    <row r="940" ht="14.25" customHeight="1">
      <c r="A940" s="38">
        <v>39.227285</v>
      </c>
      <c r="B940" s="38">
        <v>-112.898343</v>
      </c>
      <c r="C940" s="39" t="s">
        <v>979</v>
      </c>
      <c r="D940" s="36"/>
    </row>
    <row r="941" ht="14.25" customHeight="1">
      <c r="A941" s="38">
        <v>39.238125</v>
      </c>
      <c r="B941" s="38">
        <v>-112.898239</v>
      </c>
      <c r="C941" s="39" t="s">
        <v>980</v>
      </c>
      <c r="D941" s="36"/>
    </row>
    <row r="942" ht="14.25" customHeight="1">
      <c r="A942" s="38">
        <v>39.248884</v>
      </c>
      <c r="B942" s="38">
        <v>-112.898258</v>
      </c>
      <c r="C942" s="39" t="s">
        <v>981</v>
      </c>
      <c r="D942" s="36"/>
    </row>
    <row r="943" ht="14.25" customHeight="1">
      <c r="A943" s="38">
        <v>39.259737</v>
      </c>
      <c r="B943" s="38">
        <v>-112.898281</v>
      </c>
      <c r="C943" s="39" t="s">
        <v>982</v>
      </c>
      <c r="D943" s="36"/>
    </row>
    <row r="944" ht="14.25" customHeight="1">
      <c r="A944" s="38">
        <v>39.270555</v>
      </c>
      <c r="B944" s="38">
        <v>-112.898193</v>
      </c>
      <c r="C944" s="39" t="s">
        <v>983</v>
      </c>
      <c r="D944" s="36"/>
    </row>
    <row r="945" ht="14.25" customHeight="1">
      <c r="A945" s="38">
        <v>39.281385</v>
      </c>
      <c r="B945" s="38">
        <v>-112.898206</v>
      </c>
      <c r="C945" s="39" t="s">
        <v>984</v>
      </c>
      <c r="D945" s="36"/>
    </row>
    <row r="946" ht="14.25" customHeight="1">
      <c r="A946" s="38">
        <v>39.29221</v>
      </c>
      <c r="B946" s="38">
        <v>-112.898179</v>
      </c>
      <c r="C946" s="39" t="s">
        <v>985</v>
      </c>
      <c r="D946" s="36"/>
    </row>
    <row r="947" ht="14.25" customHeight="1">
      <c r="A947" s="38">
        <v>39.303034</v>
      </c>
      <c r="B947" s="38">
        <v>-112.898137</v>
      </c>
      <c r="C947" s="39" t="s">
        <v>986</v>
      </c>
      <c r="D947" s="36"/>
    </row>
    <row r="948" ht="14.25" customHeight="1">
      <c r="A948" s="38">
        <v>39.12995</v>
      </c>
      <c r="B948" s="38">
        <v>-112.884601</v>
      </c>
      <c r="C948" s="39" t="s">
        <v>987</v>
      </c>
      <c r="D948" s="36"/>
    </row>
    <row r="949" ht="14.25" customHeight="1">
      <c r="A949" s="38">
        <v>39.140327</v>
      </c>
      <c r="B949" s="38">
        <v>-112.884583</v>
      </c>
      <c r="C949" s="39" t="s">
        <v>988</v>
      </c>
      <c r="D949" s="36"/>
    </row>
    <row r="950" ht="14.25" customHeight="1">
      <c r="A950" s="38">
        <v>39.152704</v>
      </c>
      <c r="B950" s="38">
        <v>-112.884569</v>
      </c>
      <c r="C950" s="39" t="s">
        <v>989</v>
      </c>
      <c r="D950" s="36"/>
    </row>
    <row r="951" ht="14.25" customHeight="1">
      <c r="A951" s="38">
        <v>39.164179</v>
      </c>
      <c r="B951" s="38">
        <v>-112.884539</v>
      </c>
      <c r="C951" s="39" t="s">
        <v>990</v>
      </c>
      <c r="D951" s="36"/>
    </row>
    <row r="952" ht="14.25" customHeight="1">
      <c r="A952" s="38">
        <v>39.172801</v>
      </c>
      <c r="B952" s="38">
        <v>-112.884783</v>
      </c>
      <c r="C952" s="39" t="s">
        <v>991</v>
      </c>
      <c r="D952" s="36"/>
    </row>
    <row r="953" ht="14.25" customHeight="1">
      <c r="A953" s="38">
        <v>39.183989</v>
      </c>
      <c r="B953" s="38">
        <v>-112.884553</v>
      </c>
      <c r="C953" s="39" t="s">
        <v>992</v>
      </c>
      <c r="D953" s="36"/>
    </row>
    <row r="954" ht="14.25" customHeight="1">
      <c r="A954" s="38">
        <v>39.194842</v>
      </c>
      <c r="B954" s="38">
        <v>-112.8845</v>
      </c>
      <c r="C954" s="39" t="s">
        <v>993</v>
      </c>
      <c r="D954" s="36"/>
    </row>
    <row r="955" ht="14.25" customHeight="1">
      <c r="A955" s="38">
        <v>39.205475</v>
      </c>
      <c r="B955" s="38">
        <v>-112.884167</v>
      </c>
      <c r="C955" s="39" t="s">
        <v>994</v>
      </c>
      <c r="D955" s="36"/>
    </row>
    <row r="956" ht="14.25" customHeight="1">
      <c r="A956" s="38">
        <v>39.216594</v>
      </c>
      <c r="B956" s="38">
        <v>-112.884331</v>
      </c>
      <c r="C956" s="39" t="s">
        <v>995</v>
      </c>
      <c r="D956" s="36"/>
    </row>
    <row r="957" ht="14.25" customHeight="1">
      <c r="A957" s="38">
        <v>39.227097</v>
      </c>
      <c r="B957" s="38">
        <v>-112.884489</v>
      </c>
      <c r="C957" s="39" t="s">
        <v>996</v>
      </c>
      <c r="D957" s="36"/>
    </row>
    <row r="958" ht="14.25" customHeight="1">
      <c r="A958" s="38">
        <v>39.238133</v>
      </c>
      <c r="B958" s="38">
        <v>-112.884403</v>
      </c>
      <c r="C958" s="39" t="s">
        <v>997</v>
      </c>
      <c r="D958" s="36"/>
    </row>
    <row r="959" ht="14.25" customHeight="1">
      <c r="A959" s="38">
        <v>39.24879</v>
      </c>
      <c r="B959" s="38">
        <v>-112.884106</v>
      </c>
      <c r="C959" s="39" t="s">
        <v>998</v>
      </c>
      <c r="D959" s="36"/>
    </row>
    <row r="960" ht="14.25" customHeight="1">
      <c r="A960" s="38">
        <v>39.260909</v>
      </c>
      <c r="B960" s="38">
        <v>-112.882627</v>
      </c>
      <c r="C960" s="39" t="s">
        <v>999</v>
      </c>
      <c r="D960" s="36"/>
    </row>
    <row r="961" ht="14.25" customHeight="1">
      <c r="A961" s="38">
        <v>39.270578</v>
      </c>
      <c r="B961" s="38">
        <v>-112.884332</v>
      </c>
      <c r="C961" s="39" t="s">
        <v>1000</v>
      </c>
      <c r="D961" s="36"/>
    </row>
    <row r="962" ht="14.25" customHeight="1">
      <c r="A962" s="38">
        <v>39.281392</v>
      </c>
      <c r="B962" s="38">
        <v>-112.884228</v>
      </c>
      <c r="C962" s="39" t="s">
        <v>1001</v>
      </c>
      <c r="D962" s="36"/>
    </row>
    <row r="963" ht="14.25" customHeight="1">
      <c r="A963" s="38">
        <v>39.292138</v>
      </c>
      <c r="B963" s="38">
        <v>-112.884282</v>
      </c>
      <c r="C963" s="39" t="s">
        <v>1002</v>
      </c>
      <c r="D963" s="36"/>
    </row>
    <row r="964" ht="14.25" customHeight="1">
      <c r="A964" s="38">
        <v>39.303006</v>
      </c>
      <c r="B964" s="38">
        <v>-112.884301</v>
      </c>
      <c r="C964" s="39" t="s">
        <v>1003</v>
      </c>
      <c r="D964" s="36"/>
    </row>
    <row r="965" ht="14.25" customHeight="1">
      <c r="A965" s="38">
        <v>39.129927</v>
      </c>
      <c r="B965" s="38">
        <v>-112.870704</v>
      </c>
      <c r="C965" s="39" t="s">
        <v>1004</v>
      </c>
      <c r="D965" s="36"/>
    </row>
    <row r="966" ht="14.25" customHeight="1">
      <c r="A966" s="38">
        <v>39.140744</v>
      </c>
      <c r="B966" s="38">
        <v>-112.870756</v>
      </c>
      <c r="C966" s="39" t="s">
        <v>1005</v>
      </c>
      <c r="D966" s="36"/>
    </row>
    <row r="967" ht="14.25" customHeight="1">
      <c r="A967" s="38">
        <v>39.150739</v>
      </c>
      <c r="B967" s="38">
        <v>-112.872146</v>
      </c>
      <c r="C967" s="39" t="s">
        <v>1006</v>
      </c>
      <c r="D967" s="36"/>
    </row>
    <row r="968" ht="14.25" customHeight="1">
      <c r="A968" s="38">
        <v>39.162245</v>
      </c>
      <c r="B968" s="38">
        <v>-112.870355</v>
      </c>
      <c r="C968" s="39" t="s">
        <v>1007</v>
      </c>
      <c r="D968" s="36"/>
    </row>
    <row r="969" ht="14.25" customHeight="1">
      <c r="A969" s="38">
        <v>39.173227</v>
      </c>
      <c r="B969" s="38">
        <v>-112.870416</v>
      </c>
      <c r="C969" s="39" t="s">
        <v>1008</v>
      </c>
      <c r="D969" s="36"/>
    </row>
    <row r="970" ht="14.25" customHeight="1">
      <c r="A970" s="38">
        <v>39.184044</v>
      </c>
      <c r="B970" s="38">
        <v>-112.870616</v>
      </c>
      <c r="C970" s="39" t="s">
        <v>1009</v>
      </c>
      <c r="D970" s="36"/>
    </row>
    <row r="971" ht="14.25" customHeight="1">
      <c r="A971" s="38">
        <v>39.194848</v>
      </c>
      <c r="B971" s="38">
        <v>-112.870572</v>
      </c>
      <c r="C971" s="39" t="s">
        <v>1010</v>
      </c>
      <c r="D971" s="36"/>
    </row>
    <row r="972" ht="14.25" customHeight="1">
      <c r="A972" s="38">
        <v>39.20575</v>
      </c>
      <c r="B972" s="38">
        <v>-112.870678</v>
      </c>
      <c r="C972" s="39" t="s">
        <v>1011</v>
      </c>
      <c r="D972" s="36"/>
    </row>
    <row r="973" ht="14.25" customHeight="1">
      <c r="A973" s="38">
        <v>39.216088</v>
      </c>
      <c r="B973" s="38">
        <v>-112.87017</v>
      </c>
      <c r="C973" s="39" t="s">
        <v>1012</v>
      </c>
      <c r="D973" s="36"/>
    </row>
    <row r="974" ht="14.25" customHeight="1">
      <c r="A974" s="38">
        <v>39.227242</v>
      </c>
      <c r="B974" s="38">
        <v>-112.870522</v>
      </c>
      <c r="C974" s="39" t="s">
        <v>1013</v>
      </c>
      <c r="D974" s="36"/>
    </row>
    <row r="975" ht="14.25" customHeight="1">
      <c r="A975" s="38">
        <v>39.238043</v>
      </c>
      <c r="B975" s="38">
        <v>-112.870458</v>
      </c>
      <c r="C975" s="39" t="s">
        <v>1014</v>
      </c>
      <c r="D975" s="36"/>
    </row>
    <row r="976" ht="14.25" customHeight="1">
      <c r="A976" s="38">
        <v>39.248886</v>
      </c>
      <c r="B976" s="38">
        <v>-112.870433</v>
      </c>
      <c r="C976" s="39" t="s">
        <v>1015</v>
      </c>
      <c r="D976" s="36"/>
    </row>
    <row r="977" ht="14.25" customHeight="1">
      <c r="A977" s="38">
        <v>39.259953</v>
      </c>
      <c r="B977" s="38">
        <v>-112.871168</v>
      </c>
      <c r="C977" s="39" t="s">
        <v>1016</v>
      </c>
      <c r="D977" s="36"/>
    </row>
    <row r="978" ht="14.25" customHeight="1">
      <c r="A978" s="38">
        <v>39.270525</v>
      </c>
      <c r="B978" s="38">
        <v>-112.870426</v>
      </c>
      <c r="C978" s="39" t="s">
        <v>1017</v>
      </c>
      <c r="D978" s="36"/>
    </row>
    <row r="979" ht="14.25" customHeight="1">
      <c r="A979" s="38">
        <v>39.281326</v>
      </c>
      <c r="B979" s="38">
        <v>-112.870173</v>
      </c>
      <c r="C979" s="39" t="s">
        <v>1018</v>
      </c>
      <c r="D979" s="36"/>
    </row>
    <row r="980" ht="14.25" customHeight="1">
      <c r="A980" s="38">
        <v>39.29217</v>
      </c>
      <c r="B980" s="38">
        <v>-112.870321</v>
      </c>
      <c r="C980" s="39" t="s">
        <v>1019</v>
      </c>
      <c r="D980" s="36"/>
    </row>
    <row r="981" ht="14.25" customHeight="1">
      <c r="A981" s="38">
        <v>39.303053</v>
      </c>
      <c r="B981" s="38">
        <v>-112.870246</v>
      </c>
      <c r="C981" s="39" t="s">
        <v>1020</v>
      </c>
      <c r="D981" s="36"/>
    </row>
    <row r="982" ht="14.25" customHeight="1">
      <c r="A982" s="38">
        <v>39.129905</v>
      </c>
      <c r="B982" s="38">
        <v>-112.856869</v>
      </c>
      <c r="C982" s="39" t="s">
        <v>1021</v>
      </c>
      <c r="D982" s="36"/>
    </row>
    <row r="983" ht="14.25" customHeight="1">
      <c r="A983" s="38">
        <v>39.140746</v>
      </c>
      <c r="B983" s="38">
        <v>-112.856831</v>
      </c>
      <c r="C983" s="39" t="s">
        <v>1022</v>
      </c>
      <c r="D983" s="36"/>
    </row>
    <row r="984" ht="14.25" customHeight="1">
      <c r="A984" s="38">
        <v>39.151537</v>
      </c>
      <c r="B984" s="38">
        <v>-112.856791</v>
      </c>
      <c r="C984" s="39" t="s">
        <v>1023</v>
      </c>
      <c r="D984" s="36"/>
    </row>
    <row r="985" ht="14.25" customHeight="1">
      <c r="A985" s="38">
        <v>39.162414</v>
      </c>
      <c r="B985" s="38">
        <v>-112.85675</v>
      </c>
      <c r="C985" s="39" t="s">
        <v>1024</v>
      </c>
      <c r="D985" s="36"/>
    </row>
    <row r="986" ht="14.25" customHeight="1">
      <c r="A986" s="38">
        <v>39.173176</v>
      </c>
      <c r="B986" s="38">
        <v>-112.856761</v>
      </c>
      <c r="C986" s="39" t="s">
        <v>1025</v>
      </c>
      <c r="D986" s="36"/>
    </row>
    <row r="987" ht="14.25" customHeight="1">
      <c r="A987" s="38">
        <v>39.184002</v>
      </c>
      <c r="B987" s="38">
        <v>-112.856713</v>
      </c>
      <c r="C987" s="39" t="s">
        <v>1026</v>
      </c>
      <c r="D987" s="36"/>
    </row>
    <row r="988" ht="14.25" customHeight="1">
      <c r="A988" s="38">
        <v>39.194787</v>
      </c>
      <c r="B988" s="38">
        <v>-112.856682</v>
      </c>
      <c r="C988" s="39" t="s">
        <v>1027</v>
      </c>
      <c r="D988" s="36"/>
    </row>
    <row r="989" ht="14.25" customHeight="1">
      <c r="A989" s="38">
        <v>39.205634</v>
      </c>
      <c r="B989" s="38">
        <v>-112.856703</v>
      </c>
      <c r="C989" s="39" t="s">
        <v>1028</v>
      </c>
      <c r="D989" s="36"/>
    </row>
    <row r="990" ht="14.25" customHeight="1">
      <c r="A990" s="38">
        <v>39.216384</v>
      </c>
      <c r="B990" s="38">
        <v>-112.856651</v>
      </c>
      <c r="C990" s="39" t="s">
        <v>1029</v>
      </c>
      <c r="D990" s="36"/>
    </row>
    <row r="991" ht="14.25" customHeight="1">
      <c r="A991" s="38">
        <v>39.227314</v>
      </c>
      <c r="B991" s="38">
        <v>-112.858362</v>
      </c>
      <c r="C991" s="39" t="s">
        <v>1030</v>
      </c>
      <c r="D991" s="36"/>
    </row>
    <row r="992" ht="14.25" customHeight="1">
      <c r="A992" s="38">
        <v>39.237768</v>
      </c>
      <c r="B992" s="38">
        <v>-112.856809</v>
      </c>
      <c r="C992" s="39" t="s">
        <v>1031</v>
      </c>
      <c r="D992" s="36"/>
    </row>
    <row r="993" ht="14.25" customHeight="1">
      <c r="A993" s="38">
        <v>39.248851</v>
      </c>
      <c r="B993" s="38">
        <v>-112.856578</v>
      </c>
      <c r="C993" s="39" t="s">
        <v>1032</v>
      </c>
      <c r="D993" s="36"/>
    </row>
    <row r="994" ht="14.25" customHeight="1">
      <c r="A994" s="38">
        <v>39.25798</v>
      </c>
      <c r="B994" s="38">
        <v>-112.856547</v>
      </c>
      <c r="C994" s="39" t="s">
        <v>1033</v>
      </c>
      <c r="D994" s="36"/>
    </row>
    <row r="995" ht="14.25" customHeight="1">
      <c r="A995" s="38">
        <v>39.270498</v>
      </c>
      <c r="B995" s="38">
        <v>-112.856535</v>
      </c>
      <c r="C995" s="39" t="s">
        <v>1034</v>
      </c>
      <c r="D995" s="36"/>
    </row>
    <row r="996" ht="14.25" customHeight="1">
      <c r="A996" s="38">
        <v>39.281313</v>
      </c>
      <c r="B996" s="38">
        <v>-112.856436</v>
      </c>
      <c r="C996" s="39" t="s">
        <v>1035</v>
      </c>
      <c r="D996" s="36"/>
    </row>
    <row r="997" ht="14.25" customHeight="1">
      <c r="A997" s="38">
        <v>39.292156</v>
      </c>
      <c r="B997" s="38">
        <v>-112.856443</v>
      </c>
      <c r="C997" s="39" t="s">
        <v>1036</v>
      </c>
      <c r="D997" s="36"/>
    </row>
    <row r="998" ht="14.25" customHeight="1">
      <c r="A998" s="38">
        <v>39.302881</v>
      </c>
      <c r="B998" s="38">
        <v>-112.856313</v>
      </c>
      <c r="C998" s="39" t="s">
        <v>1037</v>
      </c>
      <c r="D998" s="36"/>
    </row>
    <row r="999" ht="14.25" customHeight="1">
      <c r="A999" s="38">
        <v>39.129871</v>
      </c>
      <c r="B999" s="38">
        <v>-112.84298</v>
      </c>
      <c r="C999" s="39" t="s">
        <v>1038</v>
      </c>
      <c r="D999" s="36"/>
    </row>
    <row r="1000" ht="14.25" customHeight="1">
      <c r="A1000" s="38">
        <v>39.140705</v>
      </c>
      <c r="B1000" s="38">
        <v>-112.842936</v>
      </c>
      <c r="C1000" s="39" t="s">
        <v>1039</v>
      </c>
      <c r="D1000" s="36"/>
    </row>
    <row r="1001" ht="14.25" customHeight="1">
      <c r="A1001" s="38">
        <v>39.151543</v>
      </c>
      <c r="B1001" s="38">
        <v>-112.842962</v>
      </c>
      <c r="C1001" s="39" t="s">
        <v>1040</v>
      </c>
      <c r="D1001" s="36"/>
    </row>
    <row r="1002" ht="14.25" customHeight="1">
      <c r="A1002" s="38">
        <v>39.162375</v>
      </c>
      <c r="B1002" s="38">
        <v>-112.842869</v>
      </c>
      <c r="C1002" s="39" t="s">
        <v>1041</v>
      </c>
      <c r="D1002" s="36"/>
    </row>
    <row r="1003" ht="14.25" customHeight="1">
      <c r="A1003" s="38">
        <v>39.173196</v>
      </c>
      <c r="B1003" s="38">
        <v>-112.84292</v>
      </c>
      <c r="C1003" s="39" t="s">
        <v>1042</v>
      </c>
      <c r="D1003" s="36"/>
    </row>
    <row r="1004" ht="14.25" customHeight="1">
      <c r="A1004" s="38">
        <v>39.183909</v>
      </c>
      <c r="B1004" s="38">
        <v>-112.842863</v>
      </c>
      <c r="C1004" s="39" t="s">
        <v>1043</v>
      </c>
      <c r="D1004" s="36"/>
    </row>
    <row r="1005" ht="14.25" customHeight="1">
      <c r="A1005" s="38">
        <v>39.194786</v>
      </c>
      <c r="B1005" s="38">
        <v>-112.842776</v>
      </c>
      <c r="C1005" s="39" t="s">
        <v>1044</v>
      </c>
      <c r="D1005" s="36"/>
    </row>
    <row r="1006" ht="14.25" customHeight="1">
      <c r="A1006" s="38">
        <v>39.205585</v>
      </c>
      <c r="B1006" s="38">
        <v>-112.842788</v>
      </c>
      <c r="C1006" s="39" t="s">
        <v>1045</v>
      </c>
      <c r="D1006" s="36"/>
    </row>
    <row r="1007" ht="14.25" customHeight="1">
      <c r="A1007" s="38">
        <v>39.216396</v>
      </c>
      <c r="B1007" s="38">
        <v>-112.842651</v>
      </c>
      <c r="C1007" s="39" t="s">
        <v>1046</v>
      </c>
      <c r="D1007" s="36"/>
    </row>
    <row r="1008" ht="14.25" customHeight="1">
      <c r="A1008" s="38">
        <v>39.227324</v>
      </c>
      <c r="B1008" s="38">
        <v>-112.842933</v>
      </c>
      <c r="C1008" s="39" t="s">
        <v>1047</v>
      </c>
      <c r="D1008" s="36"/>
    </row>
    <row r="1009" ht="14.25" customHeight="1">
      <c r="A1009" s="38">
        <v>39.237822</v>
      </c>
      <c r="B1009" s="38">
        <v>-112.842184</v>
      </c>
      <c r="C1009" s="39" t="s">
        <v>1048</v>
      </c>
      <c r="D1009" s="36"/>
    </row>
    <row r="1010" ht="14.25" customHeight="1">
      <c r="A1010" s="38">
        <v>39.248836</v>
      </c>
      <c r="B1010" s="38">
        <v>-112.842584</v>
      </c>
      <c r="C1010" s="39" t="s">
        <v>1049</v>
      </c>
      <c r="D1010" s="36"/>
    </row>
    <row r="1011" ht="14.25" customHeight="1">
      <c r="A1011" s="38">
        <v>39.260787</v>
      </c>
      <c r="B1011" s="38">
        <v>-112.840813</v>
      </c>
      <c r="C1011" s="39" t="s">
        <v>1050</v>
      </c>
      <c r="D1011" s="36"/>
    </row>
    <row r="1012" ht="14.25" customHeight="1">
      <c r="A1012" s="38">
        <v>39.270501</v>
      </c>
      <c r="B1012" s="38">
        <v>-112.842581</v>
      </c>
      <c r="C1012" s="39" t="s">
        <v>1051</v>
      </c>
      <c r="D1012" s="36"/>
    </row>
    <row r="1013" ht="14.25" customHeight="1">
      <c r="A1013" s="38">
        <v>39.281361</v>
      </c>
      <c r="B1013" s="38">
        <v>-112.842504</v>
      </c>
      <c r="C1013" s="39" t="s">
        <v>1052</v>
      </c>
      <c r="D1013" s="36"/>
    </row>
    <row r="1014" ht="14.25" customHeight="1">
      <c r="A1014" s="38">
        <v>39.292121</v>
      </c>
      <c r="B1014" s="38">
        <v>-112.842466</v>
      </c>
      <c r="C1014" s="39" t="s">
        <v>1053</v>
      </c>
      <c r="D1014" s="36"/>
    </row>
    <row r="1015" ht="14.25" customHeight="1">
      <c r="A1015" s="38">
        <v>39.302938</v>
      </c>
      <c r="B1015" s="38">
        <v>-112.842489</v>
      </c>
      <c r="C1015" s="39" t="s">
        <v>1054</v>
      </c>
      <c r="D1015" s="36"/>
    </row>
    <row r="1016" ht="14.25" customHeight="1">
      <c r="A1016" s="38">
        <v>39.129881</v>
      </c>
      <c r="B1016" s="38">
        <v>-112.829061</v>
      </c>
      <c r="C1016" s="39" t="s">
        <v>1055</v>
      </c>
      <c r="D1016" s="36"/>
    </row>
    <row r="1017" ht="14.25" customHeight="1">
      <c r="A1017" s="38">
        <v>39.140688</v>
      </c>
      <c r="B1017" s="38">
        <v>-112.829046</v>
      </c>
      <c r="C1017" s="39" t="s">
        <v>1056</v>
      </c>
      <c r="D1017" s="36"/>
    </row>
    <row r="1018" ht="14.25" customHeight="1">
      <c r="A1018" s="38">
        <v>39.151499</v>
      </c>
      <c r="B1018" s="38">
        <v>-112.829046</v>
      </c>
      <c r="C1018" s="39" t="s">
        <v>1057</v>
      </c>
      <c r="D1018" s="36"/>
    </row>
    <row r="1019" ht="14.25" customHeight="1">
      <c r="A1019" s="38">
        <v>39.162361</v>
      </c>
      <c r="B1019" s="38">
        <v>-112.829006</v>
      </c>
      <c r="C1019" s="39" t="s">
        <v>1058</v>
      </c>
      <c r="D1019" s="36"/>
    </row>
    <row r="1020" ht="14.25" customHeight="1">
      <c r="A1020" s="38">
        <v>39.173086</v>
      </c>
      <c r="B1020" s="38">
        <v>-112.828986</v>
      </c>
      <c r="C1020" s="39" t="s">
        <v>1059</v>
      </c>
      <c r="D1020" s="36"/>
    </row>
    <row r="1021" ht="14.25" customHeight="1">
      <c r="A1021" s="38">
        <v>39.181425</v>
      </c>
      <c r="B1021" s="38">
        <v>-112.824583</v>
      </c>
      <c r="C1021" s="39" t="s">
        <v>1060</v>
      </c>
      <c r="D1021" s="36"/>
    </row>
    <row r="1022" ht="14.25" customHeight="1">
      <c r="A1022" s="38">
        <v>39.194806</v>
      </c>
      <c r="B1022" s="38">
        <v>-112.828976</v>
      </c>
      <c r="C1022" s="39" t="s">
        <v>1061</v>
      </c>
      <c r="D1022" s="36"/>
    </row>
    <row r="1023" ht="14.25" customHeight="1">
      <c r="A1023" s="38">
        <v>39.205572</v>
      </c>
      <c r="B1023" s="38">
        <v>-112.828819</v>
      </c>
      <c r="C1023" s="39" t="s">
        <v>1062</v>
      </c>
      <c r="D1023" s="36"/>
    </row>
    <row r="1024" ht="14.25" customHeight="1">
      <c r="A1024" s="38">
        <v>39.216345</v>
      </c>
      <c r="B1024" s="38">
        <v>-112.828756</v>
      </c>
      <c r="C1024" s="39" t="s">
        <v>1063</v>
      </c>
      <c r="D1024" s="36"/>
    </row>
    <row r="1025" ht="14.25" customHeight="1">
      <c r="A1025" s="38">
        <v>39.227164</v>
      </c>
      <c r="B1025" s="38">
        <v>-112.828782</v>
      </c>
      <c r="C1025" s="39" t="s">
        <v>1064</v>
      </c>
      <c r="D1025" s="36"/>
    </row>
    <row r="1026" ht="14.25" customHeight="1">
      <c r="A1026" s="38">
        <v>39.238042</v>
      </c>
      <c r="B1026" s="38">
        <v>-112.828795</v>
      </c>
      <c r="C1026" s="39" t="s">
        <v>1065</v>
      </c>
      <c r="D1026" s="36"/>
    </row>
    <row r="1027" ht="14.25" customHeight="1">
      <c r="A1027" s="38">
        <v>39.251255</v>
      </c>
      <c r="B1027" s="38">
        <v>-112.831207</v>
      </c>
      <c r="C1027" s="39" t="s">
        <v>1066</v>
      </c>
      <c r="D1027" s="36"/>
    </row>
    <row r="1028" ht="14.25" customHeight="1">
      <c r="A1028" s="38">
        <v>39.259941</v>
      </c>
      <c r="B1028" s="38">
        <v>-112.828648</v>
      </c>
      <c r="C1028" s="39" t="s">
        <v>1067</v>
      </c>
      <c r="D1028" s="36"/>
    </row>
    <row r="1029" ht="14.25" customHeight="1">
      <c r="A1029" s="38">
        <v>39.270429</v>
      </c>
      <c r="B1029" s="38">
        <v>-112.828668</v>
      </c>
      <c r="C1029" s="39" t="s">
        <v>1068</v>
      </c>
      <c r="D1029" s="36"/>
    </row>
    <row r="1030" ht="14.25" customHeight="1">
      <c r="A1030" s="38">
        <v>39.281305</v>
      </c>
      <c r="B1030" s="38">
        <v>-112.828583</v>
      </c>
      <c r="C1030" s="39" t="s">
        <v>1069</v>
      </c>
      <c r="D1030" s="36"/>
    </row>
    <row r="1031" ht="14.25" customHeight="1">
      <c r="A1031" s="38">
        <v>39.29203</v>
      </c>
      <c r="B1031" s="38">
        <v>-112.828631</v>
      </c>
      <c r="C1031" s="39" t="s">
        <v>1070</v>
      </c>
      <c r="D1031" s="36"/>
    </row>
    <row r="1032" ht="14.25" customHeight="1">
      <c r="A1032" s="38">
        <v>39.302861</v>
      </c>
      <c r="B1032" s="38">
        <v>-112.828615</v>
      </c>
      <c r="C1032" s="39" t="s">
        <v>1071</v>
      </c>
      <c r="D1032" s="36"/>
    </row>
    <row r="1033" ht="14.25" customHeight="1">
      <c r="A1033" s="38">
        <v>39.140675</v>
      </c>
      <c r="B1033" s="38">
        <v>-112.815178</v>
      </c>
      <c r="C1033" s="39" t="s">
        <v>1072</v>
      </c>
      <c r="D1033" s="36"/>
    </row>
    <row r="1034" ht="14.25" customHeight="1">
      <c r="A1034" s="38">
        <v>39.151432</v>
      </c>
      <c r="B1034" s="38">
        <v>-112.815156</v>
      </c>
      <c r="C1034" s="39" t="s">
        <v>1073</v>
      </c>
      <c r="D1034" s="36"/>
    </row>
    <row r="1035" ht="14.25" customHeight="1">
      <c r="A1035" s="38">
        <v>39.162294</v>
      </c>
      <c r="B1035" s="38">
        <v>-112.815125</v>
      </c>
      <c r="C1035" s="39" t="s">
        <v>1074</v>
      </c>
      <c r="D1035" s="36"/>
    </row>
    <row r="1036" ht="14.25" customHeight="1">
      <c r="A1036" s="38">
        <v>39.173515</v>
      </c>
      <c r="B1036" s="38">
        <v>-112.814516</v>
      </c>
      <c r="C1036" s="39" t="s">
        <v>1075</v>
      </c>
      <c r="D1036" s="36"/>
    </row>
    <row r="1037" ht="14.25" customHeight="1">
      <c r="A1037" s="38">
        <v>39.1839</v>
      </c>
      <c r="B1037" s="38">
        <v>-112.815019</v>
      </c>
      <c r="C1037" s="39" t="s">
        <v>1076</v>
      </c>
      <c r="D1037" s="36"/>
    </row>
    <row r="1038" ht="14.25" customHeight="1">
      <c r="A1038" s="38">
        <v>39.194747</v>
      </c>
      <c r="B1038" s="38">
        <v>-112.815017</v>
      </c>
      <c r="C1038" s="39" t="s">
        <v>1077</v>
      </c>
      <c r="D1038" s="36"/>
    </row>
    <row r="1039" ht="14.25" customHeight="1">
      <c r="A1039" s="38">
        <v>39.205002</v>
      </c>
      <c r="B1039" s="38">
        <v>-112.813594</v>
      </c>
      <c r="C1039" s="39" t="s">
        <v>1078</v>
      </c>
      <c r="D1039" s="36"/>
    </row>
    <row r="1040" ht="14.25" customHeight="1">
      <c r="A1040" s="38">
        <v>39.216394</v>
      </c>
      <c r="B1040" s="38">
        <v>-112.814924</v>
      </c>
      <c r="C1040" s="39" t="s">
        <v>1079</v>
      </c>
      <c r="D1040" s="36"/>
    </row>
    <row r="1041" ht="14.25" customHeight="1">
      <c r="A1041" s="38">
        <v>39.227162</v>
      </c>
      <c r="B1041" s="38">
        <v>-112.81485</v>
      </c>
      <c r="C1041" s="39" t="s">
        <v>1080</v>
      </c>
      <c r="D1041" s="36"/>
    </row>
    <row r="1042" ht="14.25" customHeight="1">
      <c r="A1042" s="38">
        <v>39.238018</v>
      </c>
      <c r="B1042" s="38">
        <v>-112.814893</v>
      </c>
      <c r="C1042" s="39" t="s">
        <v>1081</v>
      </c>
      <c r="D1042" s="36"/>
    </row>
    <row r="1043" ht="14.25" customHeight="1">
      <c r="A1043" s="38">
        <v>39.248809</v>
      </c>
      <c r="B1043" s="38">
        <v>-112.814483</v>
      </c>
      <c r="C1043" s="39" t="s">
        <v>1082</v>
      </c>
      <c r="D1043" s="36"/>
    </row>
    <row r="1044" ht="14.25" customHeight="1">
      <c r="A1044" s="38">
        <v>39.259635</v>
      </c>
      <c r="B1044" s="38">
        <v>-112.814755</v>
      </c>
      <c r="C1044" s="39" t="s">
        <v>1083</v>
      </c>
      <c r="D1044" s="36"/>
    </row>
    <row r="1045" ht="14.25" customHeight="1">
      <c r="A1045" s="38">
        <v>39.270734</v>
      </c>
      <c r="B1045" s="38">
        <v>-112.81489</v>
      </c>
      <c r="C1045" s="39" t="s">
        <v>1084</v>
      </c>
      <c r="D1045" s="36"/>
    </row>
    <row r="1046" ht="14.25" customHeight="1">
      <c r="A1046" s="38">
        <v>39.281242</v>
      </c>
      <c r="B1046" s="38">
        <v>-112.814766</v>
      </c>
      <c r="C1046" s="39" t="s">
        <v>1085</v>
      </c>
      <c r="D1046" s="36"/>
    </row>
    <row r="1047" ht="14.25" customHeight="1">
      <c r="A1047" s="38">
        <v>39.292016</v>
      </c>
      <c r="B1047" s="38">
        <v>-112.814773</v>
      </c>
      <c r="C1047" s="39" t="s">
        <v>1086</v>
      </c>
      <c r="D1047" s="36"/>
    </row>
    <row r="1048" ht="14.25" customHeight="1">
      <c r="A1048" s="38">
        <v>39.302696</v>
      </c>
      <c r="B1048" s="38">
        <v>-112.814689</v>
      </c>
      <c r="C1048" s="39" t="s">
        <v>1087</v>
      </c>
      <c r="D1048" s="36"/>
    </row>
    <row r="1049" ht="14.25" customHeight="1">
      <c r="A1049" s="38">
        <v>39.162254</v>
      </c>
      <c r="B1049" s="38">
        <v>-112.801236</v>
      </c>
      <c r="C1049" s="39" t="s">
        <v>1088</v>
      </c>
      <c r="D1049" s="36"/>
    </row>
    <row r="1050" ht="14.25" customHeight="1">
      <c r="A1050" s="38">
        <v>39.173021</v>
      </c>
      <c r="B1050" s="38">
        <v>-112.801084</v>
      </c>
      <c r="C1050" s="39" t="s">
        <v>1089</v>
      </c>
      <c r="D1050" s="36"/>
    </row>
    <row r="1051" ht="14.25" customHeight="1">
      <c r="A1051" s="38">
        <v>39.183865</v>
      </c>
      <c r="B1051" s="38">
        <v>-112.801139</v>
      </c>
      <c r="C1051" s="39" t="s">
        <v>1090</v>
      </c>
      <c r="D1051" s="36"/>
    </row>
    <row r="1052" ht="14.25" customHeight="1">
      <c r="A1052" s="38">
        <v>39.194664</v>
      </c>
      <c r="B1052" s="38">
        <v>-112.80109</v>
      </c>
      <c r="C1052" s="39" t="s">
        <v>1091</v>
      </c>
      <c r="D1052" s="36"/>
    </row>
    <row r="1053" ht="14.25" customHeight="1">
      <c r="A1053" s="38">
        <v>39.205493</v>
      </c>
      <c r="B1053" s="38">
        <v>-112.801082</v>
      </c>
      <c r="C1053" s="39" t="s">
        <v>1092</v>
      </c>
      <c r="D1053" s="36"/>
    </row>
    <row r="1054" ht="14.25" customHeight="1">
      <c r="A1054" s="38">
        <v>39.216362</v>
      </c>
      <c r="B1054" s="38">
        <v>-112.801021</v>
      </c>
      <c r="C1054" s="39" t="s">
        <v>1093</v>
      </c>
      <c r="D1054" s="36"/>
    </row>
    <row r="1055" ht="14.25" customHeight="1">
      <c r="A1055" s="38">
        <v>39.227052</v>
      </c>
      <c r="B1055" s="38">
        <v>-112.800964</v>
      </c>
      <c r="C1055" s="39" t="s">
        <v>1094</v>
      </c>
      <c r="D1055" s="36"/>
    </row>
    <row r="1056" ht="14.25" customHeight="1">
      <c r="A1056" s="38">
        <v>39.237931</v>
      </c>
      <c r="B1056" s="38">
        <v>-112.800938</v>
      </c>
      <c r="C1056" s="39" t="s">
        <v>1095</v>
      </c>
      <c r="D1056" s="36"/>
    </row>
    <row r="1057" ht="14.25" customHeight="1">
      <c r="A1057" s="38">
        <v>39.248782</v>
      </c>
      <c r="B1057" s="38">
        <v>-112.800928</v>
      </c>
      <c r="C1057" s="39" t="s">
        <v>1096</v>
      </c>
      <c r="D1057" s="36"/>
    </row>
    <row r="1058" ht="14.25" customHeight="1">
      <c r="A1058" s="38">
        <v>39.258322</v>
      </c>
      <c r="B1058" s="38">
        <v>-112.800844</v>
      </c>
      <c r="C1058" s="39" t="s">
        <v>1097</v>
      </c>
      <c r="D1058" s="36"/>
    </row>
    <row r="1059" ht="14.25" customHeight="1">
      <c r="A1059" s="38">
        <v>39.270654</v>
      </c>
      <c r="B1059" s="38">
        <v>-112.801449</v>
      </c>
      <c r="C1059" s="39" t="s">
        <v>1098</v>
      </c>
      <c r="D1059" s="36"/>
    </row>
    <row r="1060" ht="14.25" customHeight="1">
      <c r="A1060" s="38">
        <v>39.281241</v>
      </c>
      <c r="B1060" s="38">
        <v>-112.800809</v>
      </c>
      <c r="C1060" s="39" t="s">
        <v>1099</v>
      </c>
      <c r="D1060" s="36"/>
    </row>
    <row r="1061" ht="14.25" customHeight="1">
      <c r="A1061" s="38">
        <v>39.292065</v>
      </c>
      <c r="B1061" s="38">
        <v>-112.800812</v>
      </c>
      <c r="C1061" s="39" t="s">
        <v>1100</v>
      </c>
      <c r="D1061" s="36"/>
    </row>
    <row r="1062" ht="14.25" customHeight="1">
      <c r="A1062" s="38">
        <v>39.302813</v>
      </c>
      <c r="B1062" s="38">
        <v>-112.800761</v>
      </c>
      <c r="C1062" s="39" t="s">
        <v>1101</v>
      </c>
      <c r="D1062" s="36"/>
    </row>
    <row r="1063" ht="14.25" customHeight="1">
      <c r="A1063" s="38">
        <v>39.18382</v>
      </c>
      <c r="B1063" s="38">
        <v>-112.787272</v>
      </c>
      <c r="C1063" s="39" t="s">
        <v>1102</v>
      </c>
      <c r="D1063" s="36"/>
    </row>
    <row r="1064" ht="14.25" customHeight="1">
      <c r="A1064" s="38">
        <v>39.194723</v>
      </c>
      <c r="B1064" s="38">
        <v>-112.787239</v>
      </c>
      <c r="C1064" s="39" t="s">
        <v>1103</v>
      </c>
      <c r="D1064" s="36"/>
    </row>
    <row r="1065" ht="14.25" customHeight="1">
      <c r="A1065" s="38">
        <v>39.205453</v>
      </c>
      <c r="B1065" s="38">
        <v>-112.787176</v>
      </c>
      <c r="C1065" s="39" t="s">
        <v>1104</v>
      </c>
      <c r="D1065" s="36"/>
    </row>
    <row r="1066" ht="14.25" customHeight="1">
      <c r="A1066" s="38">
        <v>39.216301</v>
      </c>
      <c r="B1066" s="38">
        <v>-112.787132</v>
      </c>
      <c r="C1066" s="39" t="s">
        <v>1105</v>
      </c>
      <c r="D1066" s="36"/>
    </row>
    <row r="1067" ht="14.25" customHeight="1">
      <c r="A1067" s="38">
        <v>39.227084</v>
      </c>
      <c r="B1067" s="38">
        <v>-112.786951</v>
      </c>
      <c r="C1067" s="39" t="s">
        <v>1106</v>
      </c>
      <c r="D1067" s="36"/>
    </row>
    <row r="1068" ht="14.25" customHeight="1">
      <c r="A1068" s="38">
        <v>39.237955</v>
      </c>
      <c r="B1068" s="38">
        <v>-112.78702</v>
      </c>
      <c r="C1068" s="39" t="s">
        <v>1107</v>
      </c>
      <c r="D1068" s="36"/>
    </row>
    <row r="1069" ht="14.25" customHeight="1">
      <c r="A1069" s="38">
        <v>39.248981</v>
      </c>
      <c r="B1069" s="38">
        <v>-112.787222</v>
      </c>
      <c r="C1069" s="39" t="s">
        <v>1108</v>
      </c>
      <c r="D1069" s="36"/>
    </row>
    <row r="1070" ht="14.25" customHeight="1">
      <c r="A1070" s="38">
        <v>39.25955</v>
      </c>
      <c r="B1070" s="38">
        <v>-112.786968</v>
      </c>
      <c r="C1070" s="39" t="s">
        <v>1109</v>
      </c>
      <c r="D1070" s="36"/>
    </row>
    <row r="1071" ht="14.25" customHeight="1">
      <c r="A1071" s="38">
        <v>39.27037</v>
      </c>
      <c r="B1071" s="38">
        <v>-112.786959</v>
      </c>
      <c r="C1071" s="39" t="s">
        <v>1110</v>
      </c>
      <c r="D1071" s="36"/>
    </row>
    <row r="1072" ht="14.25" customHeight="1">
      <c r="A1072" s="38">
        <v>39.281325</v>
      </c>
      <c r="B1072" s="38">
        <v>-112.787547</v>
      </c>
      <c r="C1072" s="39" t="s">
        <v>1111</v>
      </c>
      <c r="D1072" s="36"/>
    </row>
    <row r="1073" ht="14.25" customHeight="1">
      <c r="A1073" s="38">
        <v>39.292013</v>
      </c>
      <c r="B1073" s="38">
        <v>-112.78689</v>
      </c>
      <c r="C1073" s="39" t="s">
        <v>1112</v>
      </c>
      <c r="D1073" s="36"/>
    </row>
    <row r="1074" ht="14.25" customHeight="1">
      <c r="A1074" s="38">
        <v>39.302841</v>
      </c>
      <c r="B1074" s="38">
        <v>-112.786829</v>
      </c>
      <c r="C1074" s="39" t="s">
        <v>1113</v>
      </c>
      <c r="D1074" s="36"/>
    </row>
    <row r="1075" ht="14.25" customHeight="1">
      <c r="A1075" s="38">
        <v>39.194672</v>
      </c>
      <c r="B1075" s="38">
        <v>-112.771624</v>
      </c>
      <c r="C1075" s="39" t="s">
        <v>1114</v>
      </c>
      <c r="D1075" s="36"/>
    </row>
    <row r="1076" ht="14.25" customHeight="1">
      <c r="A1076" s="38">
        <v>39.203187</v>
      </c>
      <c r="B1076" s="38">
        <v>-112.772201</v>
      </c>
      <c r="C1076" s="39" t="s">
        <v>1115</v>
      </c>
      <c r="D1076" s="36"/>
    </row>
    <row r="1077" ht="14.25" customHeight="1">
      <c r="A1077" s="38">
        <v>39.216314</v>
      </c>
      <c r="B1077" s="38">
        <v>-112.773226</v>
      </c>
      <c r="C1077" s="39" t="s">
        <v>1116</v>
      </c>
      <c r="D1077" s="36"/>
    </row>
    <row r="1078" ht="14.25" customHeight="1">
      <c r="A1078" s="38">
        <v>39.227051</v>
      </c>
      <c r="B1078" s="38">
        <v>-112.773179</v>
      </c>
      <c r="C1078" s="39" t="s">
        <v>1117</v>
      </c>
      <c r="D1078" s="36"/>
    </row>
    <row r="1079" ht="14.25" customHeight="1">
      <c r="A1079" s="38">
        <v>39.237937</v>
      </c>
      <c r="B1079" s="38">
        <v>-112.77314</v>
      </c>
      <c r="C1079" s="39" t="s">
        <v>1118</v>
      </c>
      <c r="D1079" s="36"/>
    </row>
    <row r="1080" ht="14.25" customHeight="1">
      <c r="A1080" s="38">
        <v>39.249255</v>
      </c>
      <c r="B1080" s="38">
        <v>-112.774621</v>
      </c>
      <c r="C1080" s="39" t="s">
        <v>1119</v>
      </c>
      <c r="D1080" s="36"/>
    </row>
    <row r="1081" ht="14.25" customHeight="1">
      <c r="A1081" s="38">
        <v>39.259514</v>
      </c>
      <c r="B1081" s="38">
        <v>-112.773069</v>
      </c>
      <c r="C1081" s="39" t="s">
        <v>1120</v>
      </c>
      <c r="D1081" s="36"/>
    </row>
    <row r="1082" ht="14.25" customHeight="1">
      <c r="A1082" s="38">
        <v>39.270327</v>
      </c>
      <c r="B1082" s="38">
        <v>-112.773033</v>
      </c>
      <c r="C1082" s="39" t="s">
        <v>1121</v>
      </c>
      <c r="D1082" s="36"/>
    </row>
    <row r="1083" ht="14.25" customHeight="1">
      <c r="A1083" s="38">
        <v>39.281179</v>
      </c>
      <c r="B1083" s="38">
        <v>-112.77232</v>
      </c>
      <c r="C1083" s="39" t="s">
        <v>1122</v>
      </c>
      <c r="D1083" s="36"/>
    </row>
    <row r="1084" ht="14.25" customHeight="1">
      <c r="A1084" s="38">
        <v>39.291977</v>
      </c>
      <c r="B1084" s="38">
        <v>-112.772963</v>
      </c>
      <c r="C1084" s="39" t="s">
        <v>1123</v>
      </c>
      <c r="D1084" s="36"/>
    </row>
    <row r="1085" ht="14.25" customHeight="1">
      <c r="A1085" s="38">
        <v>39.302781</v>
      </c>
      <c r="B1085" s="38">
        <v>-112.772916</v>
      </c>
      <c r="C1085" s="39" t="s">
        <v>1124</v>
      </c>
      <c r="D1085" s="36"/>
    </row>
    <row r="1086" ht="14.25" customHeight="1">
      <c r="A1086" s="38">
        <v>39.194581</v>
      </c>
      <c r="B1086" s="38">
        <v>-112.759408</v>
      </c>
      <c r="C1086" s="39" t="s">
        <v>1125</v>
      </c>
      <c r="D1086" s="36"/>
    </row>
    <row r="1087" ht="14.25" customHeight="1">
      <c r="A1087" s="38">
        <v>39.205449</v>
      </c>
      <c r="B1087" s="38">
        <v>-112.759353</v>
      </c>
      <c r="C1087" s="39" t="s">
        <v>1126</v>
      </c>
      <c r="D1087" s="36"/>
    </row>
    <row r="1088" ht="14.25" customHeight="1">
      <c r="A1088" s="38">
        <v>39.217248</v>
      </c>
      <c r="B1088" s="38">
        <v>-112.760656</v>
      </c>
      <c r="C1088" s="39" t="s">
        <v>1127</v>
      </c>
      <c r="D1088" s="36"/>
    </row>
    <row r="1089" ht="14.25" customHeight="1">
      <c r="A1089" s="38">
        <v>39.227683</v>
      </c>
      <c r="B1089" s="38">
        <v>-112.759828</v>
      </c>
      <c r="C1089" s="39" t="s">
        <v>1128</v>
      </c>
      <c r="D1089" s="36"/>
    </row>
    <row r="1090" ht="14.25" customHeight="1">
      <c r="A1090" s="38">
        <v>39.237941</v>
      </c>
      <c r="B1090" s="38">
        <v>-112.759233</v>
      </c>
      <c r="C1090" s="39" t="s">
        <v>1129</v>
      </c>
      <c r="D1090" s="36"/>
    </row>
    <row r="1091" ht="14.25" customHeight="1">
      <c r="A1091" s="38">
        <v>39.248722</v>
      </c>
      <c r="B1091" s="38">
        <v>-112.75645</v>
      </c>
      <c r="C1091" s="39" t="s">
        <v>1130</v>
      </c>
      <c r="D1091" s="36"/>
    </row>
    <row r="1092" ht="14.25" customHeight="1">
      <c r="A1092" s="38">
        <v>39.259523</v>
      </c>
      <c r="B1092" s="38">
        <v>-112.759092</v>
      </c>
      <c r="C1092" s="39" t="s">
        <v>1131</v>
      </c>
      <c r="D1092" s="36"/>
    </row>
    <row r="1093" ht="14.25" customHeight="1">
      <c r="A1093" s="38">
        <v>39.269879</v>
      </c>
      <c r="B1093" s="38">
        <v>-112.759129</v>
      </c>
      <c r="C1093" s="39" t="s">
        <v>1132</v>
      </c>
      <c r="D1093" s="36"/>
    </row>
    <row r="1094" ht="14.25" customHeight="1">
      <c r="A1094" s="38">
        <v>39.281124</v>
      </c>
      <c r="B1094" s="38">
        <v>-112.759037</v>
      </c>
      <c r="C1094" s="39" t="s">
        <v>1133</v>
      </c>
      <c r="D1094" s="36"/>
    </row>
    <row r="1095" ht="14.25" customHeight="1">
      <c r="A1095" s="38">
        <v>39.291992</v>
      </c>
      <c r="B1095" s="38">
        <v>-112.759072</v>
      </c>
      <c r="C1095" s="39" t="s">
        <v>1134</v>
      </c>
      <c r="D1095" s="36"/>
    </row>
    <row r="1096" ht="14.25" customHeight="1">
      <c r="A1096" s="38">
        <v>39.302731</v>
      </c>
      <c r="B1096" s="38">
        <v>-112.758995</v>
      </c>
      <c r="C1096" s="39" t="s">
        <v>1135</v>
      </c>
      <c r="D1096" s="36"/>
    </row>
    <row r="1097" ht="14.25" customHeight="1">
      <c r="A1097" s="38">
        <v>39.205352</v>
      </c>
      <c r="B1097" s="38">
        <v>-112.745463</v>
      </c>
      <c r="C1097" s="39" t="s">
        <v>1136</v>
      </c>
      <c r="D1097" s="36"/>
    </row>
    <row r="1098" ht="14.25" customHeight="1">
      <c r="A1098" s="38">
        <v>39.216254</v>
      </c>
      <c r="B1098" s="38">
        <v>-112.745428</v>
      </c>
      <c r="C1098" s="39" t="s">
        <v>1137</v>
      </c>
      <c r="D1098" s="36"/>
    </row>
    <row r="1099" ht="14.25" customHeight="1">
      <c r="A1099" s="38">
        <v>39.227822</v>
      </c>
      <c r="B1099" s="38">
        <v>-112.748826</v>
      </c>
      <c r="C1099" s="39" t="s">
        <v>1138</v>
      </c>
      <c r="D1099" s="36"/>
    </row>
    <row r="1100" ht="14.25" customHeight="1">
      <c r="A1100" s="38">
        <v>39.237859</v>
      </c>
      <c r="B1100" s="38">
        <v>-112.745341</v>
      </c>
      <c r="C1100" s="39" t="s">
        <v>1139</v>
      </c>
      <c r="D1100" s="36"/>
    </row>
    <row r="1101" ht="14.25" customHeight="1">
      <c r="A1101" s="38">
        <v>39.184032</v>
      </c>
      <c r="B1101" s="38">
        <v>-113.065815</v>
      </c>
      <c r="C1101" s="39" t="s">
        <v>1140</v>
      </c>
      <c r="D1101" s="36"/>
    </row>
    <row r="1102" ht="14.25" customHeight="1">
      <c r="A1102" s="38">
        <v>39.195007</v>
      </c>
      <c r="B1102" s="38">
        <v>-113.065213</v>
      </c>
      <c r="C1102" s="39" t="s">
        <v>1141</v>
      </c>
      <c r="D1102" s="36"/>
    </row>
    <row r="1103" ht="14.25" customHeight="1">
      <c r="A1103" s="38">
        <v>39.20562</v>
      </c>
      <c r="B1103" s="38">
        <v>-113.064963</v>
      </c>
      <c r="C1103" s="39" t="s">
        <v>1142</v>
      </c>
      <c r="D1103" s="36"/>
    </row>
    <row r="1104" ht="14.25" customHeight="1">
      <c r="A1104" s="38">
        <v>39.216567</v>
      </c>
      <c r="B1104" s="38">
        <v>-113.065115</v>
      </c>
      <c r="C1104" s="39" t="s">
        <v>1143</v>
      </c>
      <c r="D1104" s="36"/>
    </row>
    <row r="1105" ht="14.25" customHeight="1">
      <c r="A1105" s="38">
        <v>39.227616</v>
      </c>
      <c r="B1105" s="38">
        <v>-113.065339</v>
      </c>
      <c r="C1105" s="39" t="s">
        <v>1144</v>
      </c>
      <c r="D1105" s="36"/>
    </row>
    <row r="1106" ht="14.25" customHeight="1">
      <c r="A1106" s="38">
        <v>39.238226</v>
      </c>
      <c r="B1106" s="38">
        <v>-113.06465</v>
      </c>
      <c r="C1106" s="39" t="s">
        <v>1145</v>
      </c>
      <c r="D1106" s="36"/>
    </row>
    <row r="1107" ht="14.25" customHeight="1">
      <c r="A1107" s="38">
        <v>39.249013</v>
      </c>
      <c r="B1107" s="38">
        <v>-113.065118</v>
      </c>
      <c r="C1107" s="39" t="s">
        <v>1146</v>
      </c>
      <c r="D1107" s="36"/>
    </row>
    <row r="1108" ht="14.25" customHeight="1">
      <c r="A1108" s="38">
        <v>39.26015</v>
      </c>
      <c r="B1108" s="38">
        <v>-113.064802</v>
      </c>
      <c r="C1108" s="39" t="s">
        <v>1147</v>
      </c>
      <c r="D1108" s="36"/>
    </row>
    <row r="1109" ht="14.25" customHeight="1">
      <c r="A1109" s="38">
        <v>39.270623</v>
      </c>
      <c r="B1109" s="38">
        <v>-113.065166</v>
      </c>
      <c r="C1109" s="39" t="s">
        <v>1148</v>
      </c>
      <c r="D1109" s="36"/>
    </row>
    <row r="1110" ht="14.25" customHeight="1">
      <c r="A1110" s="38">
        <v>39.281859</v>
      </c>
      <c r="B1110" s="38">
        <v>-113.065138</v>
      </c>
      <c r="C1110" s="39" t="s">
        <v>1149</v>
      </c>
      <c r="D1110" s="36"/>
    </row>
    <row r="1111" ht="14.25" customHeight="1">
      <c r="A1111" s="38">
        <v>39.292247</v>
      </c>
      <c r="B1111" s="38">
        <v>-113.06512</v>
      </c>
      <c r="C1111" s="39" t="s">
        <v>1150</v>
      </c>
      <c r="D1111" s="36"/>
    </row>
    <row r="1112" ht="14.25" customHeight="1">
      <c r="A1112" s="38">
        <v>39.173319</v>
      </c>
      <c r="B1112" s="38">
        <v>-113.050989</v>
      </c>
      <c r="C1112" s="39" t="s">
        <v>1151</v>
      </c>
      <c r="D1112" s="36"/>
    </row>
    <row r="1113" ht="14.25" customHeight="1">
      <c r="A1113" s="38">
        <v>39.184775</v>
      </c>
      <c r="B1113" s="38">
        <v>-113.050343</v>
      </c>
      <c r="C1113" s="39" t="s">
        <v>1152</v>
      </c>
      <c r="D1113" s="36"/>
    </row>
    <row r="1114" ht="14.25" customHeight="1">
      <c r="A1114" s="38">
        <v>39.194913</v>
      </c>
      <c r="B1114" s="38">
        <v>-113.05119</v>
      </c>
      <c r="C1114" s="39" t="s">
        <v>1153</v>
      </c>
      <c r="D1114" s="36"/>
    </row>
    <row r="1115" ht="14.25" customHeight="1">
      <c r="A1115" s="38">
        <v>39.205739</v>
      </c>
      <c r="B1115" s="38">
        <v>-113.051212</v>
      </c>
      <c r="C1115" s="39" t="s">
        <v>1154</v>
      </c>
      <c r="D1115" s="36"/>
    </row>
    <row r="1116" ht="14.25" customHeight="1">
      <c r="A1116" s="38">
        <v>39.216844</v>
      </c>
      <c r="B1116" s="38">
        <v>-113.051201</v>
      </c>
      <c r="C1116" s="39" t="s">
        <v>1155</v>
      </c>
      <c r="D1116" s="36"/>
    </row>
    <row r="1117" ht="14.25" customHeight="1">
      <c r="A1117" s="38">
        <v>39.227348</v>
      </c>
      <c r="B1117" s="38">
        <v>-113.051228</v>
      </c>
      <c r="C1117" s="39" t="s">
        <v>1156</v>
      </c>
      <c r="D1117" s="36"/>
    </row>
    <row r="1118" ht="14.25" customHeight="1">
      <c r="A1118" s="38">
        <v>39.238191</v>
      </c>
      <c r="B1118" s="38">
        <v>-113.051213</v>
      </c>
      <c r="C1118" s="39" t="s">
        <v>1157</v>
      </c>
      <c r="D1118" s="36"/>
    </row>
    <row r="1119" ht="14.25" customHeight="1">
      <c r="A1119" s="38">
        <v>39.248977</v>
      </c>
      <c r="B1119" s="38">
        <v>-113.051241</v>
      </c>
      <c r="C1119" s="39" t="s">
        <v>1158</v>
      </c>
      <c r="D1119" s="36"/>
    </row>
    <row r="1120" ht="14.25" customHeight="1">
      <c r="A1120" s="38">
        <v>39.259761</v>
      </c>
      <c r="B1120" s="38">
        <v>-113.051253</v>
      </c>
      <c r="C1120" s="39" t="s">
        <v>1159</v>
      </c>
      <c r="D1120" s="36"/>
    </row>
    <row r="1121" ht="14.25" customHeight="1">
      <c r="A1121" s="38">
        <v>39.270626</v>
      </c>
      <c r="B1121" s="38">
        <v>-113.051193</v>
      </c>
      <c r="C1121" s="39" t="s">
        <v>1160</v>
      </c>
      <c r="D1121" s="36"/>
    </row>
    <row r="1122" ht="14.25" customHeight="1">
      <c r="A1122" s="38">
        <v>39.28149</v>
      </c>
      <c r="B1122" s="38">
        <v>-113.051194</v>
      </c>
      <c r="C1122" s="39" t="s">
        <v>1161</v>
      </c>
      <c r="D1122" s="36"/>
    </row>
    <row r="1123" ht="14.25" customHeight="1">
      <c r="A1123" s="38">
        <v>39.292275</v>
      </c>
      <c r="B1123" s="38">
        <v>-113.051218</v>
      </c>
      <c r="C1123" s="39" t="s">
        <v>1162</v>
      </c>
      <c r="D1123" s="36"/>
    </row>
    <row r="1124" ht="14.25" customHeight="1">
      <c r="A1124" s="38">
        <v>39.302864</v>
      </c>
      <c r="B1124" s="38">
        <v>-113.050518</v>
      </c>
      <c r="C1124" s="39" t="s">
        <v>1163</v>
      </c>
      <c r="D1124" s="36"/>
    </row>
    <row r="1125" ht="14.25" customHeight="1">
      <c r="A1125" s="38">
        <v>39.162456</v>
      </c>
      <c r="B1125" s="38">
        <v>-113.037644</v>
      </c>
      <c r="C1125" s="39" t="s">
        <v>1164</v>
      </c>
      <c r="D1125" s="36"/>
    </row>
    <row r="1126" ht="14.25" customHeight="1">
      <c r="A1126" s="38">
        <v>39.17338</v>
      </c>
      <c r="B1126" s="38">
        <v>-113.037275</v>
      </c>
      <c r="C1126" s="39" t="s">
        <v>1165</v>
      </c>
      <c r="D1126" s="36"/>
    </row>
    <row r="1127" ht="14.25" customHeight="1">
      <c r="A1127" s="38">
        <v>39.184153</v>
      </c>
      <c r="B1127" s="38">
        <v>-113.037328</v>
      </c>
      <c r="C1127" s="39" t="s">
        <v>1166</v>
      </c>
      <c r="D1127" s="36"/>
    </row>
    <row r="1128" ht="14.25" customHeight="1">
      <c r="A1128" s="38">
        <v>39.194951</v>
      </c>
      <c r="B1128" s="38">
        <v>-113.037321</v>
      </c>
      <c r="C1128" s="39" t="s">
        <v>1167</v>
      </c>
      <c r="D1128" s="36"/>
    </row>
    <row r="1129" ht="14.25" customHeight="1">
      <c r="A1129" s="38">
        <v>39.205777</v>
      </c>
      <c r="B1129" s="38">
        <v>-113.037317</v>
      </c>
      <c r="C1129" s="39" t="s">
        <v>1168</v>
      </c>
      <c r="D1129" s="36"/>
    </row>
    <row r="1130" ht="14.25" customHeight="1">
      <c r="A1130" s="38">
        <v>39.216559</v>
      </c>
      <c r="B1130" s="38">
        <v>-113.037323</v>
      </c>
      <c r="C1130" s="39" t="s">
        <v>1169</v>
      </c>
      <c r="D1130" s="36"/>
    </row>
    <row r="1131" ht="14.25" customHeight="1">
      <c r="A1131" s="38">
        <v>39.227348</v>
      </c>
      <c r="B1131" s="38">
        <v>-113.037305</v>
      </c>
      <c r="C1131" s="39" t="s">
        <v>1170</v>
      </c>
      <c r="D1131" s="36"/>
    </row>
    <row r="1132" ht="14.25" customHeight="1">
      <c r="A1132" s="38">
        <v>39.238193</v>
      </c>
      <c r="B1132" s="38">
        <v>-113.037321</v>
      </c>
      <c r="C1132" s="39" t="s">
        <v>1171</v>
      </c>
      <c r="D1132" s="36"/>
    </row>
    <row r="1133" ht="14.25" customHeight="1">
      <c r="A1133" s="38">
        <v>39.248955</v>
      </c>
      <c r="B1133" s="38">
        <v>-113.037326</v>
      </c>
      <c r="C1133" s="39" t="s">
        <v>1172</v>
      </c>
      <c r="D1133" s="36"/>
    </row>
    <row r="1134" ht="14.25" customHeight="1">
      <c r="A1134" s="38">
        <v>39.259902</v>
      </c>
      <c r="B1134" s="38">
        <v>-113.037436</v>
      </c>
      <c r="C1134" s="39" t="s">
        <v>1173</v>
      </c>
      <c r="D1134" s="36"/>
    </row>
    <row r="1135" ht="14.25" customHeight="1">
      <c r="A1135" s="38">
        <v>39.27063</v>
      </c>
      <c r="B1135" s="38">
        <v>-113.037356</v>
      </c>
      <c r="C1135" s="39" t="s">
        <v>1174</v>
      </c>
      <c r="D1135" s="36"/>
    </row>
    <row r="1136" ht="14.25" customHeight="1">
      <c r="A1136" s="38">
        <v>39.281469</v>
      </c>
      <c r="B1136" s="38">
        <v>-113.037313</v>
      </c>
      <c r="C1136" s="39" t="s">
        <v>1175</v>
      </c>
      <c r="D1136" s="36"/>
    </row>
    <row r="1137" ht="14.25" customHeight="1">
      <c r="A1137" s="38">
        <v>39.292259</v>
      </c>
      <c r="B1137" s="38">
        <v>-113.037313</v>
      </c>
      <c r="C1137" s="39" t="s">
        <v>1176</v>
      </c>
      <c r="D1137" s="36"/>
    </row>
    <row r="1138" ht="14.25" customHeight="1">
      <c r="A1138" s="38">
        <v>39.303093</v>
      </c>
      <c r="B1138" s="38">
        <v>-113.037335</v>
      </c>
      <c r="C1138" s="39" t="s">
        <v>1177</v>
      </c>
      <c r="D1138" s="36"/>
    </row>
    <row r="1139" ht="14.25" customHeight="1">
      <c r="A1139" s="38">
        <v>39.151773</v>
      </c>
      <c r="B1139" s="38">
        <v>-113.023534</v>
      </c>
      <c r="C1139" s="39" t="s">
        <v>1178</v>
      </c>
      <c r="D1139" s="36"/>
    </row>
    <row r="1140" ht="14.25" customHeight="1">
      <c r="A1140" s="38">
        <v>39.162327</v>
      </c>
      <c r="B1140" s="38">
        <v>-113.022941</v>
      </c>
      <c r="C1140" s="39" t="s">
        <v>1179</v>
      </c>
      <c r="D1140" s="36"/>
    </row>
    <row r="1141" ht="14.25" customHeight="1">
      <c r="A1141" s="38">
        <v>39.173295</v>
      </c>
      <c r="B1141" s="38">
        <v>-113.02342</v>
      </c>
      <c r="C1141" s="39" t="s">
        <v>1180</v>
      </c>
      <c r="D1141" s="36"/>
    </row>
    <row r="1142" ht="14.25" customHeight="1">
      <c r="A1142" s="38">
        <v>39.184773</v>
      </c>
      <c r="B1142" s="38">
        <v>-113.024339</v>
      </c>
      <c r="C1142" s="39" t="s">
        <v>1181</v>
      </c>
      <c r="D1142" s="36"/>
    </row>
    <row r="1143" ht="14.25" customHeight="1">
      <c r="A1143" s="38">
        <v>39.194953</v>
      </c>
      <c r="B1143" s="38">
        <v>-113.023414</v>
      </c>
      <c r="C1143" s="39" t="s">
        <v>1182</v>
      </c>
      <c r="D1143" s="36"/>
    </row>
    <row r="1144" ht="14.25" customHeight="1">
      <c r="A1144" s="38">
        <v>39.205762</v>
      </c>
      <c r="B1144" s="38">
        <v>-113.023421</v>
      </c>
      <c r="C1144" s="39" t="s">
        <v>1183</v>
      </c>
      <c r="D1144" s="36"/>
    </row>
    <row r="1145" ht="14.25" customHeight="1">
      <c r="A1145" s="38">
        <v>39.216593</v>
      </c>
      <c r="B1145" s="38">
        <v>-113.023445</v>
      </c>
      <c r="C1145" s="39" t="s">
        <v>1184</v>
      </c>
      <c r="D1145" s="36"/>
    </row>
    <row r="1146" ht="14.25" customHeight="1">
      <c r="A1146" s="38">
        <v>39.22738</v>
      </c>
      <c r="B1146" s="38">
        <v>-113.023435</v>
      </c>
      <c r="C1146" s="39" t="s">
        <v>1185</v>
      </c>
      <c r="D1146" s="36"/>
    </row>
    <row r="1147" ht="14.25" customHeight="1">
      <c r="A1147" s="38">
        <v>39.238229</v>
      </c>
      <c r="B1147" s="38">
        <v>-113.023319</v>
      </c>
      <c r="C1147" s="39" t="s">
        <v>1186</v>
      </c>
      <c r="D1147" s="36"/>
    </row>
    <row r="1148" ht="14.25" customHeight="1">
      <c r="A1148" s="38">
        <v>39.249064</v>
      </c>
      <c r="B1148" s="38">
        <v>-113.023535</v>
      </c>
      <c r="C1148" s="39" t="s">
        <v>1187</v>
      </c>
      <c r="D1148" s="36"/>
    </row>
    <row r="1149" ht="14.25" customHeight="1">
      <c r="A1149" s="38">
        <v>39.25978</v>
      </c>
      <c r="B1149" s="38">
        <v>-113.023365</v>
      </c>
      <c r="C1149" s="39" t="s">
        <v>1188</v>
      </c>
      <c r="D1149" s="36"/>
    </row>
    <row r="1150" ht="14.25" customHeight="1">
      <c r="A1150" s="38">
        <v>39.270595</v>
      </c>
      <c r="B1150" s="38">
        <v>-113.023379</v>
      </c>
      <c r="C1150" s="39" t="s">
        <v>1189</v>
      </c>
      <c r="D1150" s="36"/>
    </row>
    <row r="1151" ht="14.25" customHeight="1">
      <c r="A1151" s="38">
        <v>39.281466</v>
      </c>
      <c r="B1151" s="38">
        <v>-113.023411</v>
      </c>
      <c r="C1151" s="39" t="s">
        <v>1190</v>
      </c>
      <c r="D1151" s="36"/>
    </row>
    <row r="1152" ht="14.25" customHeight="1">
      <c r="A1152" s="38">
        <v>39.291998</v>
      </c>
      <c r="B1152" s="38">
        <v>-113.023406</v>
      </c>
      <c r="C1152" s="39" t="s">
        <v>1191</v>
      </c>
      <c r="D1152" s="36"/>
    </row>
    <row r="1153" ht="14.25" customHeight="1">
      <c r="A1153" s="38">
        <v>39.303059</v>
      </c>
      <c r="B1153" s="38">
        <v>-113.023402</v>
      </c>
      <c r="C1153" s="39" t="s">
        <v>1192</v>
      </c>
      <c r="D1153" s="36"/>
    </row>
    <row r="1154" ht="14.25" customHeight="1">
      <c r="A1154" s="38">
        <v>39.324654</v>
      </c>
      <c r="B1154" s="38">
        <v>-113.023074</v>
      </c>
      <c r="C1154" s="39" t="s">
        <v>1193</v>
      </c>
      <c r="D1154" s="36"/>
    </row>
    <row r="1155" ht="14.25" customHeight="1">
      <c r="A1155" s="38">
        <v>39.140856</v>
      </c>
      <c r="B1155" s="38">
        <v>-113.009349</v>
      </c>
      <c r="C1155" s="39" t="s">
        <v>1194</v>
      </c>
      <c r="D1155" s="36"/>
    </row>
    <row r="1156" ht="14.25" customHeight="1">
      <c r="A1156" s="38">
        <v>39.151722</v>
      </c>
      <c r="B1156" s="38">
        <v>-113.009561</v>
      </c>
      <c r="C1156" s="39" t="s">
        <v>1195</v>
      </c>
      <c r="D1156" s="36"/>
    </row>
    <row r="1157" ht="14.25" customHeight="1">
      <c r="A1157" s="38">
        <v>39.162525</v>
      </c>
      <c r="B1157" s="38">
        <v>-113.009534</v>
      </c>
      <c r="C1157" s="39" t="s">
        <v>1196</v>
      </c>
      <c r="D1157" s="36"/>
    </row>
    <row r="1158" ht="14.25" customHeight="1">
      <c r="A1158" s="38">
        <v>39.173231</v>
      </c>
      <c r="B1158" s="38">
        <v>-113.010245</v>
      </c>
      <c r="C1158" s="39" t="s">
        <v>1197</v>
      </c>
      <c r="D1158" s="36"/>
    </row>
    <row r="1159" ht="14.25" customHeight="1">
      <c r="A1159" s="38">
        <v>39.184103</v>
      </c>
      <c r="B1159" s="38">
        <v>-113.009511</v>
      </c>
      <c r="C1159" s="39" t="s">
        <v>1198</v>
      </c>
      <c r="D1159" s="36"/>
    </row>
    <row r="1160" ht="14.25" customHeight="1">
      <c r="A1160" s="38">
        <v>39.194949</v>
      </c>
      <c r="B1160" s="38">
        <v>-113.009538</v>
      </c>
      <c r="C1160" s="39" t="s">
        <v>1199</v>
      </c>
      <c r="D1160" s="36"/>
    </row>
    <row r="1161" ht="14.25" customHeight="1">
      <c r="A1161" s="38">
        <v>39.205739</v>
      </c>
      <c r="B1161" s="38">
        <v>-113.009517</v>
      </c>
      <c r="C1161" s="39" t="s">
        <v>1200</v>
      </c>
      <c r="D1161" s="36"/>
    </row>
    <row r="1162" ht="14.25" customHeight="1">
      <c r="A1162" s="38">
        <v>39.216668</v>
      </c>
      <c r="B1162" s="38">
        <v>-113.009481</v>
      </c>
      <c r="C1162" s="39" t="s">
        <v>1201</v>
      </c>
      <c r="D1162" s="36"/>
    </row>
    <row r="1163" ht="14.25" customHeight="1">
      <c r="A1163" s="38">
        <v>39.227347</v>
      </c>
      <c r="B1163" s="38">
        <v>-113.009517</v>
      </c>
      <c r="C1163" s="39" t="s">
        <v>1202</v>
      </c>
      <c r="D1163" s="36"/>
    </row>
    <row r="1164" ht="14.25" customHeight="1">
      <c r="A1164" s="38">
        <v>39.238106</v>
      </c>
      <c r="B1164" s="38">
        <v>-113.009575</v>
      </c>
      <c r="C1164" s="39" t="s">
        <v>1203</v>
      </c>
      <c r="D1164" s="36"/>
    </row>
    <row r="1165" ht="14.25" customHeight="1">
      <c r="A1165" s="38">
        <v>39.249017</v>
      </c>
      <c r="B1165" s="38">
        <v>-113.009479</v>
      </c>
      <c r="C1165" s="39" t="s">
        <v>1204</v>
      </c>
      <c r="D1165" s="36"/>
    </row>
    <row r="1166" ht="14.25" customHeight="1">
      <c r="A1166" s="38">
        <v>39.259794</v>
      </c>
      <c r="B1166" s="38">
        <v>-113.009386</v>
      </c>
      <c r="C1166" s="39" t="s">
        <v>1205</v>
      </c>
      <c r="D1166" s="36"/>
    </row>
    <row r="1167" ht="14.25" customHeight="1">
      <c r="A1167" s="38">
        <v>39.270639</v>
      </c>
      <c r="B1167" s="38">
        <v>-113.009527</v>
      </c>
      <c r="C1167" s="39" t="s">
        <v>1206</v>
      </c>
      <c r="D1167" s="36"/>
    </row>
    <row r="1168" ht="14.25" customHeight="1">
      <c r="A1168" s="38">
        <v>39.281486</v>
      </c>
      <c r="B1168" s="38">
        <v>-113.009504</v>
      </c>
      <c r="C1168" s="39" t="s">
        <v>1207</v>
      </c>
      <c r="D1168" s="36"/>
    </row>
    <row r="1169" ht="14.25" customHeight="1">
      <c r="A1169" s="38">
        <v>39.292266</v>
      </c>
      <c r="B1169" s="38">
        <v>-113.00952</v>
      </c>
      <c r="C1169" s="39" t="s">
        <v>1208</v>
      </c>
      <c r="D1169" s="36"/>
    </row>
    <row r="1170" ht="14.25" customHeight="1">
      <c r="A1170" s="38">
        <v>39.303046</v>
      </c>
      <c r="B1170" s="38">
        <v>-113.009473</v>
      </c>
      <c r="C1170" s="39" t="s">
        <v>1209</v>
      </c>
      <c r="D1170" s="36"/>
    </row>
    <row r="1171" ht="14.25" customHeight="1">
      <c r="A1171" s="38">
        <v>39.129716</v>
      </c>
      <c r="B1171" s="38">
        <v>-112.995663</v>
      </c>
      <c r="C1171" s="39" t="s">
        <v>1210</v>
      </c>
      <c r="D1171" s="36"/>
    </row>
    <row r="1172" ht="14.25" customHeight="1">
      <c r="A1172" s="38">
        <v>39.140844</v>
      </c>
      <c r="B1172" s="38">
        <v>-112.995779</v>
      </c>
      <c r="C1172" s="39" t="s">
        <v>1211</v>
      </c>
      <c r="D1172" s="36"/>
    </row>
    <row r="1173" ht="14.25" customHeight="1">
      <c r="A1173" s="38">
        <v>39.152284</v>
      </c>
      <c r="B1173" s="38">
        <v>-112.995852</v>
      </c>
      <c r="C1173" s="39" t="s">
        <v>1212</v>
      </c>
      <c r="D1173" s="36"/>
    </row>
    <row r="1174" ht="14.25" customHeight="1">
      <c r="A1174" s="38">
        <v>39.162412</v>
      </c>
      <c r="B1174" s="38">
        <v>-112.995627</v>
      </c>
      <c r="C1174" s="39" t="s">
        <v>1213</v>
      </c>
      <c r="D1174" s="36"/>
    </row>
    <row r="1175" ht="14.25" customHeight="1">
      <c r="A1175" s="38">
        <v>39.173303</v>
      </c>
      <c r="B1175" s="38">
        <v>-112.995659</v>
      </c>
      <c r="C1175" s="39" t="s">
        <v>1214</v>
      </c>
      <c r="D1175" s="36"/>
    </row>
    <row r="1176" ht="14.25" customHeight="1">
      <c r="A1176" s="38">
        <v>39.184075</v>
      </c>
      <c r="B1176" s="38">
        <v>-112.995671</v>
      </c>
      <c r="C1176" s="39" t="s">
        <v>1215</v>
      </c>
      <c r="D1176" s="36"/>
    </row>
    <row r="1177" ht="14.25" customHeight="1">
      <c r="A1177" s="38">
        <v>39.194934</v>
      </c>
      <c r="B1177" s="38">
        <v>-112.995618</v>
      </c>
      <c r="C1177" s="39" t="s">
        <v>1216</v>
      </c>
      <c r="D1177" s="36"/>
    </row>
    <row r="1178" ht="14.25" customHeight="1">
      <c r="A1178" s="38">
        <v>39.205756</v>
      </c>
      <c r="B1178" s="38">
        <v>-112.995606</v>
      </c>
      <c r="C1178" s="39" t="s">
        <v>1217</v>
      </c>
      <c r="D1178" s="36"/>
    </row>
    <row r="1179" ht="14.25" customHeight="1">
      <c r="A1179" s="38">
        <v>39.216541</v>
      </c>
      <c r="B1179" s="38">
        <v>-112.995616</v>
      </c>
      <c r="C1179" s="39" t="s">
        <v>1218</v>
      </c>
      <c r="D1179" s="36"/>
    </row>
    <row r="1180" ht="14.25" customHeight="1">
      <c r="A1180" s="38">
        <v>39.227353</v>
      </c>
      <c r="B1180" s="38">
        <v>-112.99562</v>
      </c>
      <c r="C1180" s="39" t="s">
        <v>1219</v>
      </c>
      <c r="D1180" s="36"/>
    </row>
    <row r="1181" ht="14.25" customHeight="1">
      <c r="A1181" s="38">
        <v>39.238198</v>
      </c>
      <c r="B1181" s="38">
        <v>-112.995612</v>
      </c>
      <c r="C1181" s="39" t="s">
        <v>1220</v>
      </c>
      <c r="D1181" s="36"/>
    </row>
    <row r="1182" ht="14.25" customHeight="1">
      <c r="A1182" s="38">
        <v>39.248992</v>
      </c>
      <c r="B1182" s="38">
        <v>-112.995614</v>
      </c>
      <c r="C1182" s="39" t="s">
        <v>1221</v>
      </c>
      <c r="D1182" s="36"/>
    </row>
    <row r="1183" ht="14.25" customHeight="1">
      <c r="A1183" s="38">
        <v>39.259831</v>
      </c>
      <c r="B1183" s="38">
        <v>-112.995601</v>
      </c>
      <c r="C1183" s="39" t="s">
        <v>1222</v>
      </c>
      <c r="D1183" s="36"/>
    </row>
    <row r="1184" ht="14.25" customHeight="1">
      <c r="A1184" s="38">
        <v>39.270299</v>
      </c>
      <c r="B1184" s="38">
        <v>-112.995853</v>
      </c>
      <c r="C1184" s="39" t="s">
        <v>1223</v>
      </c>
      <c r="D1184" s="36"/>
    </row>
    <row r="1185" ht="14.25" customHeight="1">
      <c r="A1185" s="38">
        <v>39.281421</v>
      </c>
      <c r="B1185" s="38">
        <v>-112.995593</v>
      </c>
      <c r="C1185" s="39" t="s">
        <v>1224</v>
      </c>
      <c r="D1185" s="36"/>
    </row>
    <row r="1186" ht="14.25" customHeight="1">
      <c r="A1186" s="38">
        <v>39.292249</v>
      </c>
      <c r="B1186" s="38">
        <v>-112.995563</v>
      </c>
      <c r="C1186" s="39" t="s">
        <v>1225</v>
      </c>
      <c r="D1186" s="36"/>
    </row>
    <row r="1187" ht="14.25" customHeight="1">
      <c r="A1187" s="38">
        <v>39.303044</v>
      </c>
      <c r="B1187" s="38">
        <v>-112.995608</v>
      </c>
      <c r="C1187" s="39" t="s">
        <v>1226</v>
      </c>
      <c r="D1187" s="36"/>
    </row>
    <row r="1188" ht="14.25" customHeight="1">
      <c r="A1188" s="38">
        <v>39.130064</v>
      </c>
      <c r="B1188" s="38">
        <v>-112.981807</v>
      </c>
      <c r="C1188" s="39" t="s">
        <v>1227</v>
      </c>
      <c r="D1188" s="36"/>
    </row>
    <row r="1189" ht="14.25" customHeight="1">
      <c r="A1189" s="38">
        <v>39.140964</v>
      </c>
      <c r="B1189" s="38">
        <v>-112.981769</v>
      </c>
      <c r="C1189" s="39" t="s">
        <v>1228</v>
      </c>
      <c r="D1189" s="36"/>
    </row>
    <row r="1190" ht="14.25" customHeight="1">
      <c r="A1190" s="38">
        <v>39.151675</v>
      </c>
      <c r="B1190" s="38">
        <v>-112.981767</v>
      </c>
      <c r="C1190" s="39" t="s">
        <v>1229</v>
      </c>
      <c r="D1190" s="36"/>
    </row>
    <row r="1191" ht="14.25" customHeight="1">
      <c r="A1191" s="38">
        <v>39.162524</v>
      </c>
      <c r="B1191" s="38">
        <v>-112.981774</v>
      </c>
      <c r="C1191" s="39" t="s">
        <v>1230</v>
      </c>
      <c r="D1191" s="36"/>
    </row>
    <row r="1192" ht="14.25" customHeight="1">
      <c r="A1192" s="38">
        <v>39.173249</v>
      </c>
      <c r="B1192" s="38">
        <v>-112.981808</v>
      </c>
      <c r="C1192" s="39" t="s">
        <v>1231</v>
      </c>
      <c r="D1192" s="36"/>
    </row>
    <row r="1193" ht="14.25" customHeight="1">
      <c r="A1193" s="38">
        <v>39.184081</v>
      </c>
      <c r="B1193" s="38">
        <v>-112.981771</v>
      </c>
      <c r="C1193" s="39" t="s">
        <v>1232</v>
      </c>
      <c r="D1193" s="36"/>
    </row>
    <row r="1194" ht="14.25" customHeight="1">
      <c r="A1194" s="38">
        <v>39.194951</v>
      </c>
      <c r="B1194" s="38">
        <v>-112.981754</v>
      </c>
      <c r="C1194" s="39" t="s">
        <v>1233</v>
      </c>
      <c r="D1194" s="36"/>
    </row>
    <row r="1195" ht="14.25" customHeight="1">
      <c r="A1195" s="38">
        <v>39.205763</v>
      </c>
      <c r="B1195" s="38">
        <v>-112.981654</v>
      </c>
      <c r="C1195" s="39" t="s">
        <v>1234</v>
      </c>
      <c r="D1195" s="36"/>
    </row>
    <row r="1196" ht="14.25" customHeight="1">
      <c r="A1196" s="38">
        <v>39.21654</v>
      </c>
      <c r="B1196" s="38">
        <v>-112.981701</v>
      </c>
      <c r="C1196" s="39" t="s">
        <v>1235</v>
      </c>
      <c r="D1196" s="36"/>
    </row>
    <row r="1197" ht="14.25" customHeight="1">
      <c r="A1197" s="38">
        <v>39.227348</v>
      </c>
      <c r="B1197" s="38">
        <v>-112.981744</v>
      </c>
      <c r="C1197" s="39" t="s">
        <v>1236</v>
      </c>
      <c r="D1197" s="36"/>
    </row>
    <row r="1198" ht="14.25" customHeight="1">
      <c r="A1198" s="38">
        <v>39.238152</v>
      </c>
      <c r="B1198" s="38">
        <v>-112.981704</v>
      </c>
      <c r="C1198" s="39" t="s">
        <v>1237</v>
      </c>
      <c r="D1198" s="36"/>
    </row>
    <row r="1199" ht="14.25" customHeight="1">
      <c r="A1199" s="38">
        <v>39.248539</v>
      </c>
      <c r="B1199" s="38">
        <v>-112.982763</v>
      </c>
      <c r="C1199" s="39" t="s">
        <v>1238</v>
      </c>
      <c r="D1199" s="36"/>
    </row>
    <row r="1200" ht="14.25" customHeight="1">
      <c r="A1200" s="38">
        <v>39.259813</v>
      </c>
      <c r="B1200" s="38">
        <v>-112.981687</v>
      </c>
      <c r="C1200" s="39" t="s">
        <v>1239</v>
      </c>
      <c r="D1200" s="36"/>
    </row>
    <row r="1201" ht="14.25" customHeight="1">
      <c r="A1201" s="38">
        <v>39.270639</v>
      </c>
      <c r="B1201" s="38">
        <v>-112.981674</v>
      </c>
      <c r="C1201" s="39" t="s">
        <v>1240</v>
      </c>
      <c r="D1201" s="36"/>
    </row>
    <row r="1202" ht="14.25" customHeight="1">
      <c r="A1202" s="38">
        <v>39.281485</v>
      </c>
      <c r="B1202" s="38">
        <v>-112.981691</v>
      </c>
      <c r="C1202" s="39" t="s">
        <v>1241</v>
      </c>
      <c r="D1202" s="36"/>
    </row>
    <row r="1203" ht="14.25" customHeight="1">
      <c r="A1203" s="38">
        <v>39.292273</v>
      </c>
      <c r="B1203" s="38">
        <v>-112.981643</v>
      </c>
      <c r="C1203" s="39" t="s">
        <v>1242</v>
      </c>
      <c r="D1203" s="36"/>
    </row>
    <row r="1204" ht="14.25" customHeight="1">
      <c r="A1204" s="38">
        <v>39.303084</v>
      </c>
      <c r="B1204" s="38">
        <v>-112.981621</v>
      </c>
      <c r="C1204" s="39" t="s">
        <v>1243</v>
      </c>
      <c r="D1204" s="36"/>
    </row>
    <row r="1205" ht="14.25" customHeight="1">
      <c r="A1205" s="38">
        <v>39.129961</v>
      </c>
      <c r="B1205" s="38">
        <v>-112.967944</v>
      </c>
      <c r="C1205" s="39" t="s">
        <v>1244</v>
      </c>
      <c r="D1205" s="36"/>
    </row>
    <row r="1206" ht="14.25" customHeight="1">
      <c r="A1206" s="38">
        <v>39.140946</v>
      </c>
      <c r="B1206" s="38">
        <v>-112.967821</v>
      </c>
      <c r="C1206" s="39" t="s">
        <v>1245</v>
      </c>
      <c r="D1206" s="36"/>
    </row>
    <row r="1207" ht="14.25" customHeight="1">
      <c r="A1207" s="38">
        <v>39.151649</v>
      </c>
      <c r="B1207" s="38">
        <v>-112.967902</v>
      </c>
      <c r="C1207" s="39" t="s">
        <v>1246</v>
      </c>
      <c r="D1207" s="36"/>
    </row>
    <row r="1208" ht="14.25" customHeight="1">
      <c r="A1208" s="38">
        <v>39.162557</v>
      </c>
      <c r="B1208" s="38">
        <v>-112.967873</v>
      </c>
      <c r="C1208" s="39" t="s">
        <v>1247</v>
      </c>
      <c r="D1208" s="36"/>
    </row>
    <row r="1209" ht="14.25" customHeight="1">
      <c r="A1209" s="38">
        <v>39.173288</v>
      </c>
      <c r="B1209" s="38">
        <v>-112.967861</v>
      </c>
      <c r="C1209" s="39" t="s">
        <v>1248</v>
      </c>
      <c r="D1209" s="36"/>
    </row>
    <row r="1210" ht="14.25" customHeight="1">
      <c r="A1210" s="38">
        <v>39.183689</v>
      </c>
      <c r="B1210" s="38">
        <v>-112.968109</v>
      </c>
      <c r="C1210" s="39" t="s">
        <v>1249</v>
      </c>
      <c r="D1210" s="36"/>
    </row>
    <row r="1211" ht="14.25" customHeight="1">
      <c r="A1211" s="38">
        <v>39.194919</v>
      </c>
      <c r="B1211" s="38">
        <v>-112.967864</v>
      </c>
      <c r="C1211" s="39" t="s">
        <v>1250</v>
      </c>
      <c r="D1211" s="36"/>
    </row>
    <row r="1212" ht="14.25" customHeight="1">
      <c r="A1212" s="38">
        <v>39.205723</v>
      </c>
      <c r="B1212" s="38">
        <v>-112.967812</v>
      </c>
      <c r="C1212" s="39" t="s">
        <v>1251</v>
      </c>
      <c r="D1212" s="36"/>
    </row>
    <row r="1213" ht="14.25" customHeight="1">
      <c r="A1213" s="38">
        <v>39.216548</v>
      </c>
      <c r="B1213" s="38">
        <v>-112.967817</v>
      </c>
      <c r="C1213" s="39" t="s">
        <v>1252</v>
      </c>
      <c r="D1213" s="36"/>
    </row>
    <row r="1214" ht="14.25" customHeight="1">
      <c r="A1214" s="38">
        <v>39.227324</v>
      </c>
      <c r="B1214" s="38">
        <v>-112.967882</v>
      </c>
      <c r="C1214" s="39" t="s">
        <v>1253</v>
      </c>
      <c r="D1214" s="36"/>
    </row>
    <row r="1215" ht="14.25" customHeight="1">
      <c r="A1215" s="38">
        <v>39.238335</v>
      </c>
      <c r="B1215" s="38">
        <v>-112.967778</v>
      </c>
      <c r="C1215" s="39" t="s">
        <v>1254</v>
      </c>
      <c r="D1215" s="36"/>
    </row>
    <row r="1216" ht="14.25" customHeight="1">
      <c r="A1216" s="38">
        <v>39.249069</v>
      </c>
      <c r="B1216" s="38">
        <v>-112.967744</v>
      </c>
      <c r="C1216" s="39" t="s">
        <v>1255</v>
      </c>
      <c r="D1216" s="36"/>
    </row>
    <row r="1217" ht="14.25" customHeight="1">
      <c r="A1217" s="38">
        <v>39.259786</v>
      </c>
      <c r="B1217" s="38">
        <v>-112.96782</v>
      </c>
      <c r="C1217" s="39" t="s">
        <v>1256</v>
      </c>
      <c r="D1217" s="36"/>
    </row>
    <row r="1218" ht="14.25" customHeight="1">
      <c r="A1218" s="38">
        <v>39.270675</v>
      </c>
      <c r="B1218" s="38">
        <v>-112.967835</v>
      </c>
      <c r="C1218" s="39" t="s">
        <v>1257</v>
      </c>
      <c r="D1218" s="36"/>
    </row>
    <row r="1219" ht="14.25" customHeight="1">
      <c r="A1219" s="38">
        <v>39.28144</v>
      </c>
      <c r="B1219" s="38">
        <v>-112.967751</v>
      </c>
      <c r="C1219" s="39" t="s">
        <v>1258</v>
      </c>
      <c r="D1219" s="36"/>
    </row>
    <row r="1220" ht="14.25" customHeight="1">
      <c r="A1220" s="38">
        <v>39.292266</v>
      </c>
      <c r="B1220" s="38">
        <v>-112.967739</v>
      </c>
      <c r="C1220" s="39" t="s">
        <v>1259</v>
      </c>
      <c r="D1220" s="36"/>
    </row>
    <row r="1221" ht="14.25" customHeight="1">
      <c r="A1221" s="38">
        <v>39.303108</v>
      </c>
      <c r="B1221" s="38">
        <v>-112.96777</v>
      </c>
      <c r="C1221" s="39" t="s">
        <v>1260</v>
      </c>
      <c r="D1221" s="36"/>
    </row>
    <row r="1222" ht="14.25" customHeight="1">
      <c r="A1222" s="38">
        <v>39.13001</v>
      </c>
      <c r="B1222" s="38">
        <v>-112.954044</v>
      </c>
      <c r="C1222" s="39" t="s">
        <v>1261</v>
      </c>
      <c r="D1222" s="36"/>
    </row>
    <row r="1223" ht="14.25" customHeight="1">
      <c r="A1223" s="38">
        <v>39.140846</v>
      </c>
      <c r="B1223" s="38">
        <v>-112.954038</v>
      </c>
      <c r="C1223" s="39" t="s">
        <v>1262</v>
      </c>
      <c r="D1223" s="36"/>
    </row>
    <row r="1224" ht="14.25" customHeight="1">
      <c r="A1224" s="38">
        <v>39.151675</v>
      </c>
      <c r="B1224" s="38">
        <v>-112.954002</v>
      </c>
      <c r="C1224" s="39" t="s">
        <v>1263</v>
      </c>
      <c r="D1224" s="36"/>
    </row>
    <row r="1225" ht="14.25" customHeight="1">
      <c r="A1225" s="38">
        <v>39.162904</v>
      </c>
      <c r="B1225" s="38">
        <v>-112.950087</v>
      </c>
      <c r="C1225" s="39" t="s">
        <v>1264</v>
      </c>
      <c r="D1225" s="36"/>
    </row>
    <row r="1226" ht="14.25" customHeight="1">
      <c r="A1226" s="38">
        <v>39.172707</v>
      </c>
      <c r="B1226" s="38">
        <v>-112.954284</v>
      </c>
      <c r="C1226" s="39" t="s">
        <v>1265</v>
      </c>
      <c r="D1226" s="36"/>
    </row>
    <row r="1227" ht="14.25" customHeight="1">
      <c r="A1227" s="38">
        <v>39.184109</v>
      </c>
      <c r="B1227" s="38">
        <v>-112.953975</v>
      </c>
      <c r="C1227" s="39" t="s">
        <v>1266</v>
      </c>
      <c r="D1227" s="36"/>
    </row>
    <row r="1228" ht="14.25" customHeight="1">
      <c r="A1228" s="38">
        <v>39.19494</v>
      </c>
      <c r="B1228" s="38">
        <v>-112.953939</v>
      </c>
      <c r="C1228" s="39" t="s">
        <v>1267</v>
      </c>
      <c r="D1228" s="36"/>
    </row>
    <row r="1229" ht="14.25" customHeight="1">
      <c r="A1229" s="38">
        <v>39.205604</v>
      </c>
      <c r="B1229" s="38">
        <v>-112.953743</v>
      </c>
      <c r="C1229" s="39" t="s">
        <v>1268</v>
      </c>
      <c r="D1229" s="36"/>
    </row>
    <row r="1230" ht="14.25" customHeight="1">
      <c r="A1230" s="38">
        <v>39.216553</v>
      </c>
      <c r="B1230" s="38">
        <v>-112.953974</v>
      </c>
      <c r="C1230" s="39" t="s">
        <v>1269</v>
      </c>
      <c r="D1230" s="36"/>
    </row>
    <row r="1231" ht="14.25" customHeight="1">
      <c r="A1231" s="38">
        <v>39.22734</v>
      </c>
      <c r="B1231" s="38">
        <v>-112.953914</v>
      </c>
      <c r="C1231" s="39" t="s">
        <v>1270</v>
      </c>
      <c r="D1231" s="36"/>
    </row>
    <row r="1232" ht="14.25" customHeight="1">
      <c r="A1232" s="38">
        <v>39.23819</v>
      </c>
      <c r="B1232" s="38">
        <v>-112.953917</v>
      </c>
      <c r="C1232" s="39" t="s">
        <v>1271</v>
      </c>
      <c r="D1232" s="36"/>
    </row>
    <row r="1233" ht="14.25" customHeight="1">
      <c r="A1233" s="38">
        <v>39.249012</v>
      </c>
      <c r="B1233" s="38">
        <v>-112.953885</v>
      </c>
      <c r="C1233" s="39" t="s">
        <v>1272</v>
      </c>
      <c r="D1233" s="36"/>
    </row>
    <row r="1234" ht="14.25" customHeight="1">
      <c r="A1234" s="38">
        <v>39.259813</v>
      </c>
      <c r="B1234" s="38">
        <v>-112.953905</v>
      </c>
      <c r="C1234" s="39" t="s">
        <v>1273</v>
      </c>
      <c r="D1234" s="36"/>
    </row>
    <row r="1235" ht="14.25" customHeight="1">
      <c r="A1235" s="38">
        <v>39.270587</v>
      </c>
      <c r="B1235" s="38">
        <v>-112.953894</v>
      </c>
      <c r="C1235" s="39" t="s">
        <v>1274</v>
      </c>
      <c r="D1235" s="36"/>
    </row>
    <row r="1236" ht="14.25" customHeight="1">
      <c r="A1236" s="38">
        <v>39.281429</v>
      </c>
      <c r="B1236" s="38">
        <v>-112.95386</v>
      </c>
      <c r="C1236" s="39" t="s">
        <v>1275</v>
      </c>
      <c r="D1236" s="36"/>
    </row>
    <row r="1237" ht="14.25" customHeight="1">
      <c r="A1237" s="38">
        <v>39.292231</v>
      </c>
      <c r="B1237" s="38">
        <v>-112.953799</v>
      </c>
      <c r="C1237" s="39" t="s">
        <v>1276</v>
      </c>
      <c r="D1237" s="36"/>
    </row>
    <row r="1238" ht="14.25" customHeight="1">
      <c r="A1238" s="38">
        <v>39.303059</v>
      </c>
      <c r="B1238" s="38">
        <v>-112.953822</v>
      </c>
      <c r="C1238" s="39" t="s">
        <v>1277</v>
      </c>
      <c r="D1238" s="36"/>
    </row>
    <row r="1239" ht="14.25" customHeight="1">
      <c r="A1239" s="38">
        <v>39.131302</v>
      </c>
      <c r="B1239" s="38">
        <v>-112.938576</v>
      </c>
      <c r="C1239" s="39" t="s">
        <v>1278</v>
      </c>
      <c r="D1239" s="36"/>
    </row>
    <row r="1240" ht="14.25" customHeight="1">
      <c r="A1240" s="38">
        <v>39.140926</v>
      </c>
      <c r="B1240" s="38">
        <v>-112.940191</v>
      </c>
      <c r="C1240" s="39" t="s">
        <v>1279</v>
      </c>
      <c r="D1240" s="36"/>
    </row>
    <row r="1241" ht="14.25" customHeight="1">
      <c r="A1241" s="38">
        <v>39.152136</v>
      </c>
      <c r="B1241" s="38">
        <v>-112.940121</v>
      </c>
      <c r="C1241" s="39" t="s">
        <v>1280</v>
      </c>
      <c r="D1241" s="36"/>
    </row>
    <row r="1242" ht="14.25" customHeight="1">
      <c r="A1242" s="38">
        <v>39.1624</v>
      </c>
      <c r="B1242" s="38">
        <v>-112.940027</v>
      </c>
      <c r="C1242" s="39" t="s">
        <v>1281</v>
      </c>
      <c r="D1242" s="36"/>
    </row>
    <row r="1243" ht="14.25" customHeight="1">
      <c r="A1243" s="38">
        <v>39.173273</v>
      </c>
      <c r="B1243" s="38">
        <v>-112.940051</v>
      </c>
      <c r="C1243" s="39" t="s">
        <v>1282</v>
      </c>
      <c r="D1243" s="36"/>
    </row>
    <row r="1244" ht="14.25" customHeight="1">
      <c r="A1244" s="38">
        <v>39.184089</v>
      </c>
      <c r="B1244" s="38">
        <v>-112.940091</v>
      </c>
      <c r="C1244" s="39" t="s">
        <v>1283</v>
      </c>
      <c r="D1244" s="36"/>
    </row>
    <row r="1245" ht="14.25" customHeight="1">
      <c r="A1245" s="38">
        <v>39.195064</v>
      </c>
      <c r="B1245" s="38">
        <v>-112.940093</v>
      </c>
      <c r="C1245" s="39" t="s">
        <v>1284</v>
      </c>
      <c r="D1245" s="36"/>
    </row>
    <row r="1246" ht="14.25" customHeight="1">
      <c r="A1246" s="38">
        <v>39.205718</v>
      </c>
      <c r="B1246" s="38">
        <v>-112.940084</v>
      </c>
      <c r="C1246" s="39" t="s">
        <v>1285</v>
      </c>
      <c r="D1246" s="36"/>
    </row>
    <row r="1247" ht="14.25" customHeight="1">
      <c r="A1247" s="38">
        <v>39.216516</v>
      </c>
      <c r="B1247" s="38">
        <v>-112.940012</v>
      </c>
      <c r="C1247" s="39" t="s">
        <v>1286</v>
      </c>
      <c r="D1247" s="36"/>
    </row>
    <row r="1248" ht="14.25" customHeight="1">
      <c r="A1248" s="38">
        <v>39.227399</v>
      </c>
      <c r="B1248" s="38">
        <v>-112.940072</v>
      </c>
      <c r="C1248" s="39" t="s">
        <v>1287</v>
      </c>
      <c r="D1248" s="36"/>
    </row>
    <row r="1249" ht="14.25" customHeight="1">
      <c r="A1249" s="38">
        <v>39.238193</v>
      </c>
      <c r="B1249" s="38">
        <v>-112.939986</v>
      </c>
      <c r="C1249" s="39" t="s">
        <v>1288</v>
      </c>
      <c r="D1249" s="36"/>
    </row>
    <row r="1250" ht="14.25" customHeight="1">
      <c r="A1250" s="38">
        <v>39.249</v>
      </c>
      <c r="B1250" s="38">
        <v>-112.940089</v>
      </c>
      <c r="C1250" s="39" t="s">
        <v>1289</v>
      </c>
      <c r="D1250" s="36"/>
    </row>
    <row r="1251" ht="14.25" customHeight="1">
      <c r="A1251" s="38">
        <v>39.259811</v>
      </c>
      <c r="B1251" s="38">
        <v>-112.939975</v>
      </c>
      <c r="C1251" s="39" t="s">
        <v>1290</v>
      </c>
      <c r="D1251" s="36"/>
    </row>
    <row r="1252" ht="14.25" customHeight="1">
      <c r="A1252" s="38">
        <v>39.270617</v>
      </c>
      <c r="B1252" s="38">
        <v>-112.939966</v>
      </c>
      <c r="C1252" s="39" t="s">
        <v>1291</v>
      </c>
      <c r="D1252" s="36"/>
    </row>
    <row r="1253" ht="14.25" customHeight="1">
      <c r="A1253" s="38">
        <v>39.281457</v>
      </c>
      <c r="B1253" s="38">
        <v>-112.939892</v>
      </c>
      <c r="C1253" s="39" t="s">
        <v>1292</v>
      </c>
      <c r="D1253" s="36"/>
    </row>
    <row r="1254" ht="14.25" customHeight="1">
      <c r="A1254" s="38">
        <v>39.292298</v>
      </c>
      <c r="B1254" s="38">
        <v>-112.939888</v>
      </c>
      <c r="C1254" s="39" t="s">
        <v>1293</v>
      </c>
      <c r="D1254" s="36"/>
    </row>
    <row r="1255" ht="14.25" customHeight="1">
      <c r="A1255" s="38">
        <v>39.303011</v>
      </c>
      <c r="B1255" s="38">
        <v>-112.939901</v>
      </c>
      <c r="C1255" s="39" t="s">
        <v>1294</v>
      </c>
      <c r="D1255" s="36"/>
    </row>
    <row r="1256" ht="14.25" customHeight="1">
      <c r="A1256" s="38">
        <v>39.130012</v>
      </c>
      <c r="B1256" s="38">
        <v>-112.926259</v>
      </c>
      <c r="C1256" s="39" t="s">
        <v>1295</v>
      </c>
      <c r="D1256" s="36"/>
    </row>
    <row r="1257" ht="14.25" customHeight="1">
      <c r="A1257" s="38">
        <v>39.139075</v>
      </c>
      <c r="B1257" s="38">
        <v>-112.928409</v>
      </c>
      <c r="C1257" s="39" t="s">
        <v>1296</v>
      </c>
      <c r="D1257" s="36"/>
    </row>
    <row r="1258" ht="14.25" customHeight="1">
      <c r="A1258" s="38">
        <v>39.151696</v>
      </c>
      <c r="B1258" s="38">
        <v>-112.926264</v>
      </c>
      <c r="C1258" s="39" t="s">
        <v>1297</v>
      </c>
      <c r="D1258" s="36"/>
    </row>
    <row r="1259" ht="14.25" customHeight="1">
      <c r="A1259" s="38">
        <v>39.16245</v>
      </c>
      <c r="B1259" s="38">
        <v>-112.926243</v>
      </c>
      <c r="C1259" s="39" t="s">
        <v>1298</v>
      </c>
      <c r="D1259" s="36"/>
    </row>
    <row r="1260" ht="14.25" customHeight="1">
      <c r="A1260" s="38">
        <v>39.173351</v>
      </c>
      <c r="B1260" s="38">
        <v>-112.926298</v>
      </c>
      <c r="C1260" s="39" t="s">
        <v>1299</v>
      </c>
      <c r="D1260" s="36"/>
    </row>
    <row r="1261" ht="14.25" customHeight="1">
      <c r="A1261" s="38">
        <v>39.184069</v>
      </c>
      <c r="B1261" s="38">
        <v>-112.926188</v>
      </c>
      <c r="C1261" s="39" t="s">
        <v>1300</v>
      </c>
      <c r="D1261" s="36"/>
    </row>
    <row r="1262" ht="14.25" customHeight="1">
      <c r="A1262" s="38">
        <v>39.194903</v>
      </c>
      <c r="B1262" s="38">
        <v>-112.926168</v>
      </c>
      <c r="C1262" s="39" t="s">
        <v>1301</v>
      </c>
      <c r="D1262" s="36"/>
    </row>
    <row r="1263" ht="14.25" customHeight="1">
      <c r="A1263" s="38">
        <v>39.205714</v>
      </c>
      <c r="B1263" s="38">
        <v>-112.926116</v>
      </c>
      <c r="C1263" s="39" t="s">
        <v>1302</v>
      </c>
      <c r="D1263" s="36"/>
    </row>
    <row r="1264" ht="14.25" customHeight="1">
      <c r="A1264" s="38">
        <v>39.216545</v>
      </c>
      <c r="B1264" s="38">
        <v>-112.926089</v>
      </c>
      <c r="C1264" s="39" t="s">
        <v>1303</v>
      </c>
      <c r="D1264" s="36"/>
    </row>
    <row r="1265" ht="14.25" customHeight="1">
      <c r="A1265" s="38">
        <v>39.227316</v>
      </c>
      <c r="B1265" s="38">
        <v>-112.926086</v>
      </c>
      <c r="C1265" s="39" t="s">
        <v>1304</v>
      </c>
      <c r="D1265" s="36"/>
    </row>
    <row r="1266" ht="14.25" customHeight="1">
      <c r="A1266" s="38">
        <v>39.238143</v>
      </c>
      <c r="B1266" s="38">
        <v>-112.926098</v>
      </c>
      <c r="C1266" s="39" t="s">
        <v>1305</v>
      </c>
      <c r="D1266" s="36"/>
    </row>
    <row r="1267" ht="14.25" customHeight="1">
      <c r="A1267" s="38">
        <v>39.248987</v>
      </c>
      <c r="B1267" s="38">
        <v>-112.926086</v>
      </c>
      <c r="C1267" s="39" t="s">
        <v>1306</v>
      </c>
      <c r="D1267" s="36"/>
    </row>
    <row r="1268" ht="14.25" customHeight="1">
      <c r="A1268" s="38">
        <v>39.25979</v>
      </c>
      <c r="B1268" s="38">
        <v>-112.926035</v>
      </c>
      <c r="C1268" s="39" t="s">
        <v>1307</v>
      </c>
      <c r="D1268" s="36"/>
    </row>
    <row r="1269" ht="14.25" customHeight="1">
      <c r="A1269" s="38">
        <v>39.270622</v>
      </c>
      <c r="B1269" s="38">
        <v>-112.926049</v>
      </c>
      <c r="C1269" s="39" t="s">
        <v>1308</v>
      </c>
      <c r="D1269" s="36"/>
    </row>
    <row r="1270" ht="14.25" customHeight="1">
      <c r="A1270" s="38">
        <v>39.281412</v>
      </c>
      <c r="B1270" s="38">
        <v>-112.926017</v>
      </c>
      <c r="C1270" s="39" t="s">
        <v>1309</v>
      </c>
      <c r="D1270" s="36"/>
    </row>
    <row r="1271" ht="14.25" customHeight="1">
      <c r="A1271" s="38">
        <v>39.29225</v>
      </c>
      <c r="B1271" s="38">
        <v>-112.926018</v>
      </c>
      <c r="C1271" s="39" t="s">
        <v>1310</v>
      </c>
      <c r="D1271" s="36"/>
    </row>
    <row r="1272" ht="14.25" customHeight="1">
      <c r="A1272" s="38">
        <v>39.303062</v>
      </c>
      <c r="B1272" s="38">
        <v>-112.925997</v>
      </c>
      <c r="C1272" s="39" t="s">
        <v>1311</v>
      </c>
      <c r="D1272" s="36"/>
    </row>
    <row r="1273" ht="14.25" customHeight="1">
      <c r="A1273" s="38">
        <v>39.130054</v>
      </c>
      <c r="B1273" s="38">
        <v>-112.912353</v>
      </c>
      <c r="C1273" s="39" t="s">
        <v>1312</v>
      </c>
      <c r="D1273" s="36"/>
    </row>
    <row r="1274" ht="14.25" customHeight="1">
      <c r="A1274" s="38">
        <v>39.139689</v>
      </c>
      <c r="B1274" s="38">
        <v>-112.909978</v>
      </c>
      <c r="C1274" s="39" t="s">
        <v>1313</v>
      </c>
      <c r="D1274" s="36"/>
    </row>
    <row r="1275" ht="14.25" customHeight="1">
      <c r="A1275" s="38">
        <v>39.151654</v>
      </c>
      <c r="B1275" s="38">
        <v>-112.912352</v>
      </c>
      <c r="C1275" s="39" t="s">
        <v>1314</v>
      </c>
      <c r="D1275" s="36"/>
    </row>
    <row r="1276" ht="14.25" customHeight="1">
      <c r="A1276" s="38">
        <v>39.162483</v>
      </c>
      <c r="B1276" s="38">
        <v>-112.912208</v>
      </c>
      <c r="C1276" s="39" t="s">
        <v>1315</v>
      </c>
      <c r="D1276" s="36"/>
    </row>
    <row r="1277" ht="14.25" customHeight="1">
      <c r="A1277" s="38">
        <v>39.173014</v>
      </c>
      <c r="B1277" s="38">
        <v>-112.91229</v>
      </c>
      <c r="C1277" s="39" t="s">
        <v>1316</v>
      </c>
      <c r="D1277" s="36"/>
    </row>
    <row r="1278" ht="14.25" customHeight="1">
      <c r="A1278" s="38">
        <v>39.184056</v>
      </c>
      <c r="B1278" s="38">
        <v>-112.912238</v>
      </c>
      <c r="C1278" s="39" t="s">
        <v>1317</v>
      </c>
      <c r="D1278" s="36"/>
    </row>
    <row r="1279" ht="14.25" customHeight="1">
      <c r="A1279" s="38">
        <v>39.194879</v>
      </c>
      <c r="B1279" s="38">
        <v>-112.912284</v>
      </c>
      <c r="C1279" s="39" t="s">
        <v>1318</v>
      </c>
      <c r="D1279" s="36"/>
    </row>
    <row r="1280" ht="14.25" customHeight="1">
      <c r="A1280" s="38">
        <v>39.205664</v>
      </c>
      <c r="B1280" s="38">
        <v>-112.912176</v>
      </c>
      <c r="C1280" s="39" t="s">
        <v>1319</v>
      </c>
      <c r="D1280" s="36"/>
    </row>
    <row r="1281" ht="14.25" customHeight="1">
      <c r="A1281" s="38">
        <v>39.216491</v>
      </c>
      <c r="B1281" s="38">
        <v>-112.912234</v>
      </c>
      <c r="C1281" s="39" t="s">
        <v>1320</v>
      </c>
      <c r="D1281" s="36"/>
    </row>
    <row r="1282" ht="14.25" customHeight="1">
      <c r="A1282" s="38">
        <v>39.227293</v>
      </c>
      <c r="B1282" s="38">
        <v>-112.912232</v>
      </c>
      <c r="C1282" s="39" t="s">
        <v>1321</v>
      </c>
      <c r="D1282" s="36"/>
    </row>
    <row r="1283" ht="14.25" customHeight="1">
      <c r="A1283" s="38">
        <v>39.238174</v>
      </c>
      <c r="B1283" s="38">
        <v>-112.912171</v>
      </c>
      <c r="C1283" s="39" t="s">
        <v>1322</v>
      </c>
      <c r="D1283" s="36"/>
    </row>
    <row r="1284" ht="14.25" customHeight="1">
      <c r="A1284" s="38">
        <v>39.248933</v>
      </c>
      <c r="B1284" s="38">
        <v>-112.9122</v>
      </c>
      <c r="C1284" s="39" t="s">
        <v>1323</v>
      </c>
      <c r="D1284" s="36"/>
    </row>
    <row r="1285" ht="14.25" customHeight="1">
      <c r="A1285" s="38">
        <v>39.259794</v>
      </c>
      <c r="B1285" s="38">
        <v>-112.912161</v>
      </c>
      <c r="C1285" s="39" t="s">
        <v>1324</v>
      </c>
      <c r="D1285" s="36"/>
    </row>
    <row r="1286" ht="14.25" customHeight="1">
      <c r="A1286" s="38">
        <v>39.270592</v>
      </c>
      <c r="B1286" s="38">
        <v>-112.912103</v>
      </c>
      <c r="C1286" s="39" t="s">
        <v>1325</v>
      </c>
      <c r="D1286" s="36"/>
    </row>
    <row r="1287" ht="14.25" customHeight="1">
      <c r="A1287" s="38">
        <v>39.281379</v>
      </c>
      <c r="B1287" s="38">
        <v>-112.912094</v>
      </c>
      <c r="C1287" s="39" t="s">
        <v>1326</v>
      </c>
      <c r="D1287" s="36"/>
    </row>
    <row r="1288" ht="14.25" customHeight="1">
      <c r="A1288" s="38">
        <v>39.292279</v>
      </c>
      <c r="B1288" s="38">
        <v>-112.912083</v>
      </c>
      <c r="C1288" s="39" t="s">
        <v>1327</v>
      </c>
      <c r="D1288" s="36"/>
    </row>
    <row r="1289" ht="14.25" customHeight="1">
      <c r="A1289" s="38">
        <v>39.302988</v>
      </c>
      <c r="B1289" s="38">
        <v>-112.912097</v>
      </c>
      <c r="C1289" s="39" t="s">
        <v>1328</v>
      </c>
      <c r="D1289" s="36"/>
    </row>
    <row r="1290" ht="14.25" customHeight="1">
      <c r="A1290" s="38">
        <v>39.173049</v>
      </c>
      <c r="B1290" s="38">
        <v>-112.787225</v>
      </c>
      <c r="C1290" s="39" t="s">
        <v>1329</v>
      </c>
      <c r="D1290" s="36"/>
    </row>
    <row r="1291" ht="14.25" customHeight="1">
      <c r="A1291" s="38">
        <v>39.183789</v>
      </c>
      <c r="B1291" s="38">
        <v>-112.773328</v>
      </c>
      <c r="C1291" s="39" t="s">
        <v>1330</v>
      </c>
      <c r="D1291" s="36"/>
    </row>
    <row r="1292" ht="14.25" customHeight="1">
      <c r="A1292" s="38">
        <v>39.188311</v>
      </c>
      <c r="B1292" s="38">
        <v>-112.711697</v>
      </c>
      <c r="C1292" s="39" t="s">
        <v>1331</v>
      </c>
      <c r="D1292" s="36"/>
    </row>
    <row r="1293" ht="14.25" customHeight="1">
      <c r="A1293" s="38">
        <v>39.22454</v>
      </c>
      <c r="B1293" s="38">
        <v>-112.75784</v>
      </c>
      <c r="C1293" s="39" t="s">
        <v>1332</v>
      </c>
      <c r="D1293" s="36"/>
    </row>
    <row r="1294" ht="14.25" customHeight="1">
      <c r="A1294" s="38">
        <v>39.72132</v>
      </c>
      <c r="B1294" s="38">
        <v>-112.59532</v>
      </c>
      <c r="C1294" s="39" t="s">
        <v>1333</v>
      </c>
      <c r="D1294" s="36"/>
    </row>
    <row r="1295" ht="14.25" customHeight="1">
      <c r="A1295" s="38">
        <v>39.07389</v>
      </c>
      <c r="B1295" s="38">
        <v>-112.8431</v>
      </c>
      <c r="C1295" s="39" t="s">
        <v>1334</v>
      </c>
      <c r="D1295" s="36"/>
    </row>
    <row r="1296" ht="14.25" customHeight="1">
      <c r="A1296" s="38">
        <v>39.724324</v>
      </c>
      <c r="B1296" s="38">
        <v>-112.832578</v>
      </c>
      <c r="C1296" s="39" t="s">
        <v>1335</v>
      </c>
      <c r="D1296" s="36"/>
    </row>
    <row r="1297" ht="14.25" customHeight="1">
      <c r="A1297" s="38">
        <v>39.22622</v>
      </c>
      <c r="B1297" s="38">
        <v>-113.0726</v>
      </c>
      <c r="C1297" s="39" t="s">
        <v>1336</v>
      </c>
      <c r="D1297" s="36"/>
    </row>
    <row r="1298" ht="14.25" customHeight="1">
      <c r="A1298" s="38">
        <v>39.225774</v>
      </c>
      <c r="B1298" s="38">
        <v>-112.472258</v>
      </c>
      <c r="C1298" s="39" t="s">
        <v>1337</v>
      </c>
      <c r="D1298" s="36"/>
    </row>
    <row r="1299" ht="14.25" customHeight="1">
      <c r="A1299" s="38">
        <v>38.96114</v>
      </c>
      <c r="B1299" s="38">
        <v>-112.5112</v>
      </c>
      <c r="C1299" s="39" t="s">
        <v>1338</v>
      </c>
      <c r="D1299" s="36"/>
    </row>
    <row r="1300" ht="14.25" customHeight="1">
      <c r="A1300" s="38">
        <v>38.931264</v>
      </c>
      <c r="B1300" s="38">
        <v>-112.892728</v>
      </c>
      <c r="C1300" s="39" t="s">
        <v>1339</v>
      </c>
      <c r="D1300" s="36"/>
    </row>
    <row r="1301" ht="14.25" customHeight="1">
      <c r="A1301" s="38">
        <v>39.53899</v>
      </c>
      <c r="B1301" s="38">
        <v>-112.64269</v>
      </c>
      <c r="C1301" s="39" t="s">
        <v>1340</v>
      </c>
      <c r="D1301" s="36"/>
    </row>
    <row r="1302" ht="14.25" customHeight="1">
      <c r="A1302" s="38">
        <v>39.42247</v>
      </c>
      <c r="B1302" s="38">
        <v>-112.85247</v>
      </c>
      <c r="C1302" s="39" t="s">
        <v>1341</v>
      </c>
      <c r="D1302" s="36"/>
    </row>
    <row r="1303" ht="14.25" customHeight="1">
      <c r="A1303" s="38">
        <v>39.442954</v>
      </c>
      <c r="B1303" s="38">
        <v>-112.844238</v>
      </c>
      <c r="C1303" s="39" t="s">
        <v>1342</v>
      </c>
      <c r="D1303" s="36"/>
    </row>
    <row r="1304" ht="14.25" customHeight="1">
      <c r="A1304" s="38">
        <v>38.921754</v>
      </c>
      <c r="B1304" s="38">
        <v>-112.631138</v>
      </c>
      <c r="C1304" s="39" t="s">
        <v>1343</v>
      </c>
      <c r="D1304" s="36"/>
    </row>
    <row r="1305" ht="14.25" customHeight="1">
      <c r="A1305" s="38">
        <v>39.16763</v>
      </c>
      <c r="B1305" s="38">
        <v>-113.02096</v>
      </c>
      <c r="C1305" s="39" t="s">
        <v>1344</v>
      </c>
      <c r="D1305" s="36"/>
    </row>
    <row r="1306" ht="14.25" customHeight="1">
      <c r="A1306" s="38">
        <v>39.14183</v>
      </c>
      <c r="B1306" s="38">
        <v>-112.97145</v>
      </c>
      <c r="C1306" s="39" t="s">
        <v>1345</v>
      </c>
      <c r="D1306" s="36"/>
    </row>
    <row r="1307" ht="14.25" customHeight="1">
      <c r="A1307" s="38">
        <v>39.12882</v>
      </c>
      <c r="B1307" s="38">
        <v>-112.84194</v>
      </c>
      <c r="C1307" s="39" t="s">
        <v>1346</v>
      </c>
      <c r="D1307" s="36"/>
    </row>
    <row r="1308" ht="14.25" customHeight="1">
      <c r="A1308" s="38">
        <v>39.16291</v>
      </c>
      <c r="B1308" s="38">
        <v>-112.91567</v>
      </c>
      <c r="C1308" s="39" t="s">
        <v>1347</v>
      </c>
      <c r="D1308" s="36"/>
    </row>
    <row r="1309" ht="14.25" customHeight="1">
      <c r="A1309" s="38">
        <v>39.16296</v>
      </c>
      <c r="B1309" s="38">
        <v>-112.88246</v>
      </c>
      <c r="C1309" s="39" t="s">
        <v>1348</v>
      </c>
      <c r="D1309" s="36"/>
    </row>
    <row r="1310" ht="14.25" customHeight="1">
      <c r="A1310" s="38">
        <v>39.15727</v>
      </c>
      <c r="B1310" s="38">
        <v>-112.7788</v>
      </c>
      <c r="C1310" s="39" t="s">
        <v>1349</v>
      </c>
      <c r="D1310" s="36"/>
    </row>
    <row r="1311" ht="14.25" customHeight="1">
      <c r="A1311" s="38">
        <v>39.18604</v>
      </c>
      <c r="B1311" s="38">
        <v>-113.00923</v>
      </c>
      <c r="C1311" s="39" t="s">
        <v>1350</v>
      </c>
      <c r="D1311" s="36"/>
    </row>
    <row r="1312" ht="14.25" customHeight="1">
      <c r="A1312" s="38">
        <v>39.20846</v>
      </c>
      <c r="B1312" s="38">
        <v>-112.96883</v>
      </c>
      <c r="C1312" s="39" t="s">
        <v>1351</v>
      </c>
      <c r="D1312" s="36"/>
    </row>
    <row r="1313" ht="14.25" customHeight="1">
      <c r="A1313" s="38">
        <v>39.20709</v>
      </c>
      <c r="B1313" s="38">
        <v>-112.78281</v>
      </c>
      <c r="C1313" s="39" t="s">
        <v>1352</v>
      </c>
      <c r="D1313" s="36"/>
    </row>
    <row r="1314" ht="14.25" customHeight="1">
      <c r="A1314" s="38">
        <v>39.21171</v>
      </c>
      <c r="B1314" s="38">
        <v>-113.03877</v>
      </c>
      <c r="C1314" s="39" t="s">
        <v>1353</v>
      </c>
      <c r="D1314" s="36"/>
    </row>
    <row r="1315" ht="14.25" customHeight="1">
      <c r="A1315" s="38">
        <v>39.26253</v>
      </c>
      <c r="B1315" s="38">
        <v>-113.02673</v>
      </c>
      <c r="C1315" s="39" t="s">
        <v>1354</v>
      </c>
      <c r="D1315" s="36"/>
    </row>
    <row r="1316" ht="14.25" customHeight="1">
      <c r="A1316" s="38">
        <v>39.25223</v>
      </c>
      <c r="B1316" s="38">
        <v>-112.9447</v>
      </c>
      <c r="C1316" s="39" t="s">
        <v>1355</v>
      </c>
      <c r="D1316" s="36"/>
    </row>
    <row r="1317" ht="14.25" customHeight="1">
      <c r="A1317" s="38">
        <v>39.21777</v>
      </c>
      <c r="B1317" s="38">
        <v>-112.89719</v>
      </c>
      <c r="C1317" s="39" t="s">
        <v>1356</v>
      </c>
      <c r="D1317" s="36"/>
    </row>
    <row r="1318" ht="14.25" customHeight="1">
      <c r="A1318" s="38">
        <v>39.23187</v>
      </c>
      <c r="B1318" s="38">
        <v>-112.76444</v>
      </c>
      <c r="C1318" s="39" t="s">
        <v>1357</v>
      </c>
      <c r="D1318" s="36"/>
    </row>
    <row r="1319" ht="14.25" customHeight="1">
      <c r="A1319" s="38">
        <v>39.24672</v>
      </c>
      <c r="B1319" s="38">
        <v>-112.76905</v>
      </c>
      <c r="C1319" s="39" t="s">
        <v>1358</v>
      </c>
      <c r="D1319" s="36"/>
    </row>
    <row r="1320" ht="14.25" customHeight="1">
      <c r="A1320" s="38">
        <v>39.26253</v>
      </c>
      <c r="B1320" s="38">
        <v>-113.02673</v>
      </c>
      <c r="C1320" s="39" t="s">
        <v>1359</v>
      </c>
      <c r="D1320" s="36"/>
    </row>
    <row r="1321" ht="14.25" customHeight="1">
      <c r="A1321" s="38">
        <v>39.31288</v>
      </c>
      <c r="B1321" s="38">
        <v>-112.9531</v>
      </c>
      <c r="C1321" s="39" t="s">
        <v>1360</v>
      </c>
      <c r="D1321" s="36"/>
    </row>
    <row r="1322" ht="14.25" customHeight="1">
      <c r="A1322" s="38">
        <v>39.31631</v>
      </c>
      <c r="B1322" s="38">
        <v>-112.86652</v>
      </c>
      <c r="C1322" s="39" t="s">
        <v>1361</v>
      </c>
      <c r="D1322" s="36"/>
    </row>
    <row r="1323" ht="14.25" customHeight="1">
      <c r="A1323" s="38">
        <v>39.30348</v>
      </c>
      <c r="B1323" s="38">
        <v>-112.76873</v>
      </c>
      <c r="C1323" s="39" t="s">
        <v>1362</v>
      </c>
      <c r="D1323" s="36"/>
    </row>
    <row r="1324" ht="14.25" customHeight="1">
      <c r="A1324" s="38">
        <v>39.32289</v>
      </c>
      <c r="B1324" s="38">
        <v>-113.00775</v>
      </c>
      <c r="C1324" s="39" t="s">
        <v>1363</v>
      </c>
      <c r="D1324" s="36"/>
    </row>
    <row r="1325" ht="14.25" customHeight="1">
      <c r="A1325" s="38">
        <v>39.34183</v>
      </c>
      <c r="B1325" s="38">
        <v>-112.94503</v>
      </c>
      <c r="C1325" s="39" t="s">
        <v>1364</v>
      </c>
      <c r="D1325" s="36"/>
    </row>
    <row r="1326" ht="14.25" customHeight="1">
      <c r="A1326" s="38">
        <v>39.33028</v>
      </c>
      <c r="B1326" s="38">
        <v>-112.8686</v>
      </c>
      <c r="C1326" s="39" t="s">
        <v>1365</v>
      </c>
      <c r="D1326" s="36"/>
    </row>
    <row r="1327" ht="14.25" customHeight="1">
      <c r="A1327" s="38">
        <v>39.3084</v>
      </c>
      <c r="B1327" s="38">
        <v>-112.79175</v>
      </c>
      <c r="C1327" s="39" t="s">
        <v>1366</v>
      </c>
      <c r="D1327" s="36"/>
    </row>
    <row r="1328" ht="14.25" customHeight="1">
      <c r="A1328" s="38">
        <v>39.38365</v>
      </c>
      <c r="B1328" s="38">
        <v>-112.92647</v>
      </c>
      <c r="C1328" s="39" t="s">
        <v>1367</v>
      </c>
      <c r="D1328" s="36"/>
    </row>
    <row r="1329" ht="14.25" customHeight="1">
      <c r="A1329" s="38">
        <v>39.3943</v>
      </c>
      <c r="B1329" s="38">
        <v>-112.88441</v>
      </c>
      <c r="C1329" s="39" t="s">
        <v>1368</v>
      </c>
      <c r="D1329" s="36"/>
    </row>
    <row r="1330" ht="14.25" customHeight="1">
      <c r="A1330" s="38">
        <v>39.406044</v>
      </c>
      <c r="B1330" s="38">
        <v>-112.829758</v>
      </c>
      <c r="C1330" s="39" t="s">
        <v>1369</v>
      </c>
      <c r="D1330" s="36"/>
    </row>
    <row r="1331" ht="14.25" customHeight="1">
      <c r="A1331" s="38">
        <v>39.40605</v>
      </c>
      <c r="B1331" s="38">
        <v>-112.82977</v>
      </c>
      <c r="C1331" s="39" t="s">
        <v>1369</v>
      </c>
      <c r="D1331" s="36"/>
    </row>
    <row r="1332" ht="14.25" customHeight="1">
      <c r="A1332" s="38">
        <v>39.555474</v>
      </c>
      <c r="B1332" s="38">
        <v>-112.626428</v>
      </c>
      <c r="C1332" s="39" t="s">
        <v>1370</v>
      </c>
      <c r="D1332" s="36"/>
    </row>
    <row r="1333" ht="14.25" customHeight="1">
      <c r="A1333" s="38">
        <v>39.576184</v>
      </c>
      <c r="B1333" s="38">
        <v>-112.607038</v>
      </c>
      <c r="C1333" s="39" t="s">
        <v>1371</v>
      </c>
      <c r="D1333" s="36"/>
    </row>
    <row r="1334" ht="14.25" customHeight="1">
      <c r="A1334" s="38">
        <v>39.668374</v>
      </c>
      <c r="B1334" s="38">
        <v>-112.593098</v>
      </c>
      <c r="C1334" s="39" t="s">
        <v>1372</v>
      </c>
      <c r="D1334" s="36"/>
    </row>
    <row r="1335" ht="14.25" customHeight="1">
      <c r="A1335" s="38">
        <v>39.700254</v>
      </c>
      <c r="B1335" s="38">
        <v>-112.666748</v>
      </c>
      <c r="C1335" s="39" t="s">
        <v>1373</v>
      </c>
      <c r="D1335" s="36"/>
    </row>
    <row r="1336" ht="14.25" customHeight="1">
      <c r="A1336" s="38">
        <v>39.690724</v>
      </c>
      <c r="B1336" s="38">
        <v>-112.749248</v>
      </c>
      <c r="C1336" s="39" t="s">
        <v>1374</v>
      </c>
      <c r="D1336" s="36"/>
    </row>
    <row r="1337" ht="14.25" customHeight="1">
      <c r="A1337" s="38">
        <v>39.642634</v>
      </c>
      <c r="B1337" s="38">
        <v>-112.735548</v>
      </c>
      <c r="C1337" s="39" t="s">
        <v>1375</v>
      </c>
      <c r="D1337" s="36"/>
    </row>
    <row r="1338" ht="14.25" customHeight="1">
      <c r="A1338" s="38">
        <v>39.585354</v>
      </c>
      <c r="B1338" s="38">
        <v>-112.741048</v>
      </c>
      <c r="C1338" s="39" t="s">
        <v>1376</v>
      </c>
      <c r="D1338" s="36"/>
    </row>
    <row r="1339" ht="14.25" customHeight="1">
      <c r="A1339" s="38">
        <v>39.527354</v>
      </c>
      <c r="B1339" s="38">
        <v>-112.781508</v>
      </c>
      <c r="C1339" s="39" t="s">
        <v>1377</v>
      </c>
      <c r="D1339" s="36"/>
    </row>
    <row r="1340" ht="14.25" customHeight="1">
      <c r="A1340" s="38">
        <v>39.567524</v>
      </c>
      <c r="B1340" s="38">
        <v>-112.838588</v>
      </c>
      <c r="C1340" s="39" t="s">
        <v>1378</v>
      </c>
      <c r="D1340" s="36"/>
    </row>
    <row r="1341" ht="14.25" customHeight="1">
      <c r="A1341" s="38">
        <v>39.601464</v>
      </c>
      <c r="B1341" s="38">
        <v>-112.902638</v>
      </c>
      <c r="C1341" s="39" t="s">
        <v>1379</v>
      </c>
      <c r="D1341" s="36"/>
    </row>
    <row r="1342" ht="14.25" customHeight="1">
      <c r="A1342" s="38">
        <v>39.616074</v>
      </c>
      <c r="B1342" s="38">
        <v>-112.969938</v>
      </c>
      <c r="C1342" s="39" t="s">
        <v>1380</v>
      </c>
      <c r="D1342" s="36"/>
    </row>
    <row r="1343" ht="14.25" customHeight="1">
      <c r="A1343" s="38">
        <v>39.565834</v>
      </c>
      <c r="B1343" s="38">
        <v>-112.932478</v>
      </c>
      <c r="C1343" s="39" t="s">
        <v>1381</v>
      </c>
      <c r="D1343" s="36"/>
    </row>
    <row r="1344" ht="14.25" customHeight="1">
      <c r="A1344" s="38">
        <v>39.515374</v>
      </c>
      <c r="B1344" s="38">
        <v>-112.899398</v>
      </c>
      <c r="C1344" s="39" t="s">
        <v>1382</v>
      </c>
      <c r="D1344" s="36"/>
    </row>
    <row r="1345" ht="14.25" customHeight="1">
      <c r="A1345" s="38">
        <v>39.459884</v>
      </c>
      <c r="B1345" s="38">
        <v>-112.859568</v>
      </c>
      <c r="C1345" s="39" t="s">
        <v>1383</v>
      </c>
      <c r="D1345" s="36"/>
    </row>
    <row r="1346" ht="14.25" customHeight="1">
      <c r="A1346" s="38">
        <v>39.459394</v>
      </c>
      <c r="B1346" s="38">
        <v>-112.914238</v>
      </c>
      <c r="C1346" s="39" t="s">
        <v>1384</v>
      </c>
      <c r="D1346" s="36"/>
    </row>
    <row r="1347" ht="14.25" customHeight="1">
      <c r="A1347" s="38">
        <v>39.017884</v>
      </c>
      <c r="B1347" s="38">
        <v>-112.484768</v>
      </c>
      <c r="C1347" s="39" t="s">
        <v>1385</v>
      </c>
      <c r="D1347" s="36"/>
    </row>
    <row r="1348" ht="14.25" customHeight="1">
      <c r="A1348" s="38">
        <v>39.050504</v>
      </c>
      <c r="B1348" s="38">
        <v>-112.555768</v>
      </c>
      <c r="C1348" s="39" t="s">
        <v>1386</v>
      </c>
      <c r="D1348" s="36"/>
    </row>
    <row r="1349" ht="14.25" customHeight="1">
      <c r="A1349" s="38">
        <v>39.097644</v>
      </c>
      <c r="B1349" s="38">
        <v>-112.571558</v>
      </c>
      <c r="C1349" s="39" t="s">
        <v>1387</v>
      </c>
      <c r="D1349" s="36"/>
    </row>
    <row r="1350" ht="14.25" customHeight="1">
      <c r="A1350" s="38">
        <v>39.123734</v>
      </c>
      <c r="B1350" s="38">
        <v>-112.521618</v>
      </c>
      <c r="C1350" s="39" t="s">
        <v>1388</v>
      </c>
      <c r="D1350" s="36"/>
    </row>
    <row r="1351" ht="14.25" customHeight="1">
      <c r="A1351" s="38">
        <v>39.156114</v>
      </c>
      <c r="B1351" s="38">
        <v>-112.466678</v>
      </c>
      <c r="C1351" s="39" t="s">
        <v>1389</v>
      </c>
      <c r="D1351" s="36"/>
    </row>
    <row r="1352" ht="14.25" customHeight="1">
      <c r="A1352" s="38">
        <v>39.094784</v>
      </c>
      <c r="B1352" s="38">
        <v>-112.600228</v>
      </c>
      <c r="C1352" s="39" t="s">
        <v>1390</v>
      </c>
      <c r="D1352" s="36"/>
    </row>
    <row r="1353" ht="14.25" customHeight="1">
      <c r="A1353" s="38">
        <v>39.093074</v>
      </c>
      <c r="B1353" s="38">
        <v>-112.664318</v>
      </c>
      <c r="C1353" s="39" t="s">
        <v>1391</v>
      </c>
      <c r="D1353" s="36"/>
    </row>
    <row r="1354" ht="14.25" customHeight="1">
      <c r="A1354" s="38">
        <v>39.117144</v>
      </c>
      <c r="B1354" s="38">
        <v>-112.733798</v>
      </c>
      <c r="C1354" s="39" t="s">
        <v>1392</v>
      </c>
      <c r="D1354" s="36"/>
    </row>
    <row r="1355" ht="14.25" customHeight="1">
      <c r="A1355" s="38">
        <v>39.187824</v>
      </c>
      <c r="B1355" s="38">
        <v>-112.711608</v>
      </c>
      <c r="C1355" s="39" t="s">
        <v>1393</v>
      </c>
      <c r="D1355" s="36"/>
    </row>
    <row r="1356" ht="14.25" customHeight="1">
      <c r="A1356" s="38">
        <v>39.053084</v>
      </c>
      <c r="B1356" s="38">
        <v>-112.766488</v>
      </c>
      <c r="C1356" s="39" t="s">
        <v>1394</v>
      </c>
      <c r="D1356" s="36"/>
    </row>
    <row r="1357" ht="14.25" customHeight="1">
      <c r="A1357" s="38">
        <v>38.995494</v>
      </c>
      <c r="B1357" s="38">
        <v>-112.789418</v>
      </c>
      <c r="C1357" s="39" t="s">
        <v>1395</v>
      </c>
      <c r="D1357" s="36"/>
    </row>
    <row r="1358" ht="14.25" customHeight="1">
      <c r="A1358" s="38">
        <v>38.914414</v>
      </c>
      <c r="B1358" s="38">
        <v>-112.820938</v>
      </c>
      <c r="C1358" s="39" t="s">
        <v>1396</v>
      </c>
      <c r="D1358" s="36"/>
    </row>
    <row r="1359" ht="14.25" customHeight="1">
      <c r="A1359" s="38">
        <v>38.826374</v>
      </c>
      <c r="B1359" s="38">
        <v>-112.839728</v>
      </c>
      <c r="C1359" s="39" t="s">
        <v>1397</v>
      </c>
      <c r="D1359" s="36"/>
    </row>
    <row r="1360" ht="14.25" customHeight="1">
      <c r="A1360" s="38">
        <v>38.834814</v>
      </c>
      <c r="B1360" s="38">
        <v>-112.742238</v>
      </c>
      <c r="C1360" s="39" t="s">
        <v>1398</v>
      </c>
      <c r="D1360" s="36"/>
    </row>
    <row r="1361" ht="14.25" customHeight="1">
      <c r="A1361" s="38">
        <v>38.838604</v>
      </c>
      <c r="B1361" s="38">
        <v>-112.661538</v>
      </c>
      <c r="C1361" s="39" t="s">
        <v>1399</v>
      </c>
      <c r="D1361" s="36"/>
    </row>
    <row r="1362" ht="14.25" customHeight="1">
      <c r="A1362" s="38">
        <v>38.898744</v>
      </c>
      <c r="B1362" s="38">
        <v>-112.631588</v>
      </c>
      <c r="C1362" s="39" t="s">
        <v>1400</v>
      </c>
      <c r="D1362" s="36"/>
    </row>
    <row r="1363" ht="14.25" customHeight="1">
      <c r="A1363" s="38">
        <v>38.958384</v>
      </c>
      <c r="B1363" s="38">
        <v>-112.597058</v>
      </c>
      <c r="C1363" s="39" t="s">
        <v>1401</v>
      </c>
      <c r="D1363" s="36"/>
    </row>
    <row r="1364" ht="14.25" customHeight="1">
      <c r="A1364" s="38">
        <v>39.019134</v>
      </c>
      <c r="B1364" s="38">
        <v>-112.548298</v>
      </c>
      <c r="C1364" s="39" t="s">
        <v>1402</v>
      </c>
      <c r="D1364" s="36"/>
    </row>
    <row r="1365" ht="14.25" customHeight="1">
      <c r="A1365" s="38">
        <v>39.190243</v>
      </c>
      <c r="B1365" s="38">
        <v>-112.709923</v>
      </c>
      <c r="C1365" s="39" t="s">
        <v>1403</v>
      </c>
      <c r="D1365" s="36"/>
    </row>
    <row r="1366" ht="14.25" customHeight="1">
      <c r="A1366" s="38">
        <v>39.190215</v>
      </c>
      <c r="B1366" s="38">
        <v>-112.714516</v>
      </c>
      <c r="C1366" s="39" t="s">
        <v>1404</v>
      </c>
      <c r="D1366" s="36"/>
    </row>
    <row r="1367" ht="14.25" customHeight="1">
      <c r="A1367" s="38">
        <v>39.186652</v>
      </c>
      <c r="B1367" s="38">
        <v>-112.709921</v>
      </c>
      <c r="C1367" s="39" t="s">
        <v>1405</v>
      </c>
      <c r="D1367" s="36"/>
    </row>
    <row r="1368" ht="14.25" customHeight="1">
      <c r="A1368" s="38">
        <v>39.186652</v>
      </c>
      <c r="B1368" s="38">
        <v>-112.714546</v>
      </c>
      <c r="C1368" s="39" t="s">
        <v>1406</v>
      </c>
      <c r="D1368" s="36"/>
    </row>
    <row r="1369" ht="14.25" customHeight="1">
      <c r="A1369" s="38">
        <v>39.474257</v>
      </c>
      <c r="B1369" s="38">
        <v>-112.991316</v>
      </c>
      <c r="C1369" s="39" t="s">
        <v>1407</v>
      </c>
      <c r="D1369" s="36"/>
    </row>
    <row r="1370" ht="14.25" customHeight="1">
      <c r="A1370" s="38">
        <v>39.474255</v>
      </c>
      <c r="B1370" s="38">
        <v>-112.995947</v>
      </c>
      <c r="C1370" s="39" t="s">
        <v>1408</v>
      </c>
      <c r="D1370" s="36"/>
    </row>
    <row r="1371" ht="14.25" customHeight="1">
      <c r="A1371" s="38">
        <v>39.470669</v>
      </c>
      <c r="B1371" s="38">
        <v>-112.991389</v>
      </c>
      <c r="C1371" s="39" t="s">
        <v>1409</v>
      </c>
      <c r="D1371" s="36"/>
    </row>
    <row r="1372" ht="14.25" customHeight="1">
      <c r="A1372" s="38">
        <v>39.470678</v>
      </c>
      <c r="B1372" s="38">
        <v>-112.995908</v>
      </c>
      <c r="C1372" s="39" t="s">
        <v>1410</v>
      </c>
      <c r="D1372" s="36"/>
    </row>
    <row r="1373" ht="14.25" customHeight="1">
      <c r="A1373" s="38">
        <v>39.466543</v>
      </c>
      <c r="B1373" s="38">
        <v>-112.990471</v>
      </c>
      <c r="C1373" s="39" t="s">
        <v>1411</v>
      </c>
      <c r="D1373" s="36"/>
    </row>
    <row r="1374" ht="14.25" customHeight="1">
      <c r="A1374" s="38">
        <v>39.465546</v>
      </c>
      <c r="B1374" s="38">
        <v>-112.987041</v>
      </c>
      <c r="C1374" s="39" t="s">
        <v>1412</v>
      </c>
      <c r="D1374" s="36"/>
    </row>
    <row r="1375" ht="14.25" customHeight="1">
      <c r="A1375" s="38">
        <v>39.466529</v>
      </c>
      <c r="B1375" s="38">
        <v>-112.989263</v>
      </c>
      <c r="C1375" s="39" t="s">
        <v>1413</v>
      </c>
      <c r="D1375" s="36"/>
    </row>
    <row r="1376" ht="14.25" customHeight="1">
      <c r="A1376" s="38">
        <v>39.467467</v>
      </c>
      <c r="B1376" s="38">
        <v>-112.987172</v>
      </c>
      <c r="C1376" s="39" t="s">
        <v>1414</v>
      </c>
      <c r="D1376" s="36"/>
    </row>
    <row r="1377" ht="14.25" customHeight="1">
      <c r="A1377" s="38">
        <v>39.46832</v>
      </c>
      <c r="B1377" s="38">
        <v>-112.988159</v>
      </c>
      <c r="C1377" s="39" t="s">
        <v>1415</v>
      </c>
      <c r="D1377" s="36"/>
    </row>
    <row r="1378" ht="14.25" customHeight="1">
      <c r="A1378" s="38">
        <v>39.466421</v>
      </c>
      <c r="B1378" s="38">
        <v>-112.9871</v>
      </c>
      <c r="C1378" s="39" t="s">
        <v>1416</v>
      </c>
      <c r="D1378" s="36"/>
    </row>
    <row r="1379" ht="14.25" customHeight="1">
      <c r="A1379" s="38">
        <v>39.46557</v>
      </c>
      <c r="B1379" s="38">
        <v>-112.988193</v>
      </c>
      <c r="C1379" s="39" t="s">
        <v>1417</v>
      </c>
      <c r="D1379" s="36"/>
    </row>
    <row r="1380" ht="14.25" customHeight="1">
      <c r="A1380" s="38">
        <v>39.46737</v>
      </c>
      <c r="B1380" s="38">
        <v>-112.989434</v>
      </c>
      <c r="C1380" s="39" t="s">
        <v>1418</v>
      </c>
      <c r="D1380" s="36"/>
    </row>
    <row r="1381" ht="14.25" customHeight="1">
      <c r="A1381" s="38">
        <v>39.468323</v>
      </c>
      <c r="B1381" s="38">
        <v>-112.989312</v>
      </c>
      <c r="C1381" s="39" t="s">
        <v>1419</v>
      </c>
      <c r="D1381" s="36"/>
    </row>
    <row r="1382" ht="14.25" customHeight="1">
      <c r="A1382" s="38">
        <v>39.467438</v>
      </c>
      <c r="B1382" s="38">
        <v>-112.990442</v>
      </c>
      <c r="C1382" s="39" t="s">
        <v>1420</v>
      </c>
      <c r="D1382" s="36"/>
    </row>
    <row r="1383" ht="14.25" customHeight="1">
      <c r="A1383" s="38">
        <v>39.465607</v>
      </c>
      <c r="B1383" s="38">
        <v>-112.989324</v>
      </c>
      <c r="C1383" s="39" t="s">
        <v>1421</v>
      </c>
      <c r="D1383" s="36"/>
    </row>
    <row r="1384" ht="14.25" customHeight="1">
      <c r="A1384" s="38">
        <v>39.467428</v>
      </c>
      <c r="B1384" s="38">
        <v>-112.988191</v>
      </c>
      <c r="C1384" s="39" t="s">
        <v>1422</v>
      </c>
      <c r="D1384" s="36"/>
    </row>
    <row r="1385" ht="14.25" customHeight="1">
      <c r="A1385" s="38">
        <v>39.468343</v>
      </c>
      <c r="B1385" s="38">
        <v>-112.990467</v>
      </c>
      <c r="C1385" s="39" t="s">
        <v>1423</v>
      </c>
      <c r="D1385" s="36"/>
    </row>
    <row r="1386" ht="14.25" customHeight="1">
      <c r="A1386" s="38">
        <v>39.466556</v>
      </c>
      <c r="B1386" s="38">
        <v>-112.988257</v>
      </c>
      <c r="C1386" s="39" t="s">
        <v>1424</v>
      </c>
      <c r="D1386" s="36"/>
    </row>
    <row r="1387" ht="14.25" customHeight="1">
      <c r="A1387" s="38">
        <v>39.204368</v>
      </c>
      <c r="B1387" s="38">
        <v>-112.827227</v>
      </c>
      <c r="C1387" s="39" t="s">
        <v>1425</v>
      </c>
      <c r="D1387" s="36"/>
    </row>
    <row r="1388" ht="14.25" customHeight="1">
      <c r="A1388" s="38">
        <v>39.217502</v>
      </c>
      <c r="B1388" s="38">
        <v>-112.83131</v>
      </c>
      <c r="C1388" s="39" t="s">
        <v>1426</v>
      </c>
      <c r="D1388" s="36"/>
    </row>
    <row r="1389" ht="14.25" customHeight="1">
      <c r="A1389" s="38">
        <v>39.213685</v>
      </c>
      <c r="B1389" s="38">
        <v>-112.814648</v>
      </c>
      <c r="C1389" s="39" t="s">
        <v>1427</v>
      </c>
      <c r="D1389" s="36"/>
    </row>
    <row r="1390" ht="14.25" customHeight="1">
      <c r="A1390" s="38">
        <v>39.200551</v>
      </c>
      <c r="B1390" s="38">
        <v>-112.810568</v>
      </c>
      <c r="C1390" s="39" t="s">
        <v>1428</v>
      </c>
      <c r="D1390" s="36"/>
    </row>
    <row r="1391" ht="14.25" customHeight="1">
      <c r="A1391" s="38">
        <v>39.191234</v>
      </c>
      <c r="B1391" s="38">
        <v>-112.823145</v>
      </c>
      <c r="C1391" s="39" t="s">
        <v>1429</v>
      </c>
      <c r="D1391" s="36"/>
    </row>
    <row r="1392" ht="14.25" customHeight="1">
      <c r="A1392" s="38">
        <v>39.19505</v>
      </c>
      <c r="B1392" s="38">
        <v>-112.839803</v>
      </c>
      <c r="C1392" s="39" t="s">
        <v>1430</v>
      </c>
      <c r="D1392" s="36"/>
    </row>
    <row r="1393" ht="14.25" customHeight="1">
      <c r="A1393" s="38">
        <v>39.208183</v>
      </c>
      <c r="B1393" s="38">
        <v>-112.843888</v>
      </c>
      <c r="C1393" s="39" t="s">
        <v>1431</v>
      </c>
      <c r="D1393" s="36"/>
    </row>
    <row r="1394" ht="14.25" customHeight="1">
      <c r="A1394" s="38">
        <v>39.1883</v>
      </c>
      <c r="B1394" s="38">
        <v>-112.7117</v>
      </c>
      <c r="C1394" s="39" t="s">
        <v>1432</v>
      </c>
      <c r="D1394" s="36"/>
    </row>
    <row r="1395" ht="14.25" customHeight="1">
      <c r="A1395" s="38">
        <v>39.20792</v>
      </c>
      <c r="B1395" s="38">
        <v>-113.12147</v>
      </c>
      <c r="C1395" s="39" t="s">
        <v>1433</v>
      </c>
      <c r="D1395" s="36"/>
    </row>
    <row r="1396" ht="14.25" customHeight="1">
      <c r="A1396" s="38">
        <v>39.47282</v>
      </c>
      <c r="B1396" s="38">
        <v>-112.99366</v>
      </c>
      <c r="C1396" s="39" t="s">
        <v>1434</v>
      </c>
      <c r="D1396" s="36"/>
    </row>
    <row r="1397" ht="14.25" customHeight="1">
      <c r="A1397" s="38">
        <v>39.47866</v>
      </c>
      <c r="B1397" s="38">
        <v>-112.875717</v>
      </c>
      <c r="C1397" s="39" t="s">
        <v>1435</v>
      </c>
      <c r="D1397" s="36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6.0"/>
  </cols>
  <sheetData>
    <row r="1">
      <c r="A1" s="32" t="s">
        <v>1436</v>
      </c>
      <c r="B1" s="37">
        <v>39.29693</v>
      </c>
      <c r="C1" s="37">
        <v>-112.90875</v>
      </c>
      <c r="E1" s="37">
        <v>39.338417</v>
      </c>
      <c r="F1" s="37">
        <v>-112.701091</v>
      </c>
      <c r="G1" s="39" t="str">
        <f t="shared" ref="G1:G5" si="1">LOOKUP(1,1/FREQUENCY(0,MMULT((B$1:C$10-E1:F1)^2,{1;1})),A$1:A$10)</f>
        <v>#N/A</v>
      </c>
      <c r="H1" s="40" t="str">
        <f t="shared" ref="H1:H5" si="2">LOOKUP(1,1/FREQUENCY(0,SIN((RADIANS(B$1:B$10-E1))/2)^2+SIN((RADIANS(C$1:C$10-F1))/2)^2*COS(RADIANS(B$1:B$10))*COS(RADIANS(E1))),A$1:A$10)</f>
        <v>A</v>
      </c>
    </row>
    <row r="2">
      <c r="A2" s="32" t="s">
        <v>1437</v>
      </c>
      <c r="B2" s="37">
        <v>39.338505</v>
      </c>
      <c r="C2" s="37">
        <v>-112.700891</v>
      </c>
      <c r="E2" s="37">
        <v>39.296706</v>
      </c>
      <c r="F2" s="37">
        <v>-112.90922</v>
      </c>
      <c r="G2" s="39" t="str">
        <f t="shared" si="1"/>
        <v>#N/A</v>
      </c>
      <c r="H2" s="40" t="str">
        <f t="shared" si="2"/>
        <v>A</v>
      </c>
    </row>
    <row r="3">
      <c r="A3" s="32" t="s">
        <v>1438</v>
      </c>
      <c r="B3" s="37">
        <v>39.339457</v>
      </c>
      <c r="C3" s="37">
        <v>-112.701826</v>
      </c>
      <c r="E3" s="37">
        <v>39.378658</v>
      </c>
      <c r="F3" s="37">
        <v>-112.884453</v>
      </c>
      <c r="G3" s="39" t="str">
        <f t="shared" si="1"/>
        <v>#N/A</v>
      </c>
      <c r="H3" s="40" t="str">
        <f t="shared" si="2"/>
        <v>A</v>
      </c>
    </row>
    <row r="4">
      <c r="A4" s="32" t="s">
        <v>1439</v>
      </c>
      <c r="B4" s="37">
        <v>39.29228</v>
      </c>
      <c r="C4" s="37">
        <v>-112.773082</v>
      </c>
      <c r="E4" s="37">
        <v>39.389031</v>
      </c>
      <c r="F4" s="37">
        <v>-112.814621</v>
      </c>
      <c r="G4" s="39" t="str">
        <f t="shared" si="1"/>
        <v>#N/A</v>
      </c>
      <c r="H4" s="40" t="str">
        <f t="shared" si="2"/>
        <v>A</v>
      </c>
    </row>
    <row r="5">
      <c r="A5" s="32" t="s">
        <v>1440</v>
      </c>
      <c r="B5" s="37">
        <v>39.338417</v>
      </c>
      <c r="C5" s="37">
        <v>-112.701091</v>
      </c>
      <c r="E5" s="37">
        <v>39.189919</v>
      </c>
      <c r="F5" s="37">
        <v>-112.714592</v>
      </c>
      <c r="G5" s="39" t="str">
        <f t="shared" si="1"/>
        <v>#N/A</v>
      </c>
      <c r="H5" s="40" t="str">
        <f t="shared" si="2"/>
        <v>A</v>
      </c>
    </row>
    <row r="6">
      <c r="A6" s="32" t="s">
        <v>1441</v>
      </c>
      <c r="B6" s="37">
        <v>39.296706</v>
      </c>
      <c r="C6" s="37">
        <v>-112.90922</v>
      </c>
    </row>
    <row r="7">
      <c r="A7" s="32" t="s">
        <v>1442</v>
      </c>
      <c r="B7" s="37">
        <v>39.378658</v>
      </c>
      <c r="C7" s="37">
        <v>-112.884453</v>
      </c>
    </row>
    <row r="8">
      <c r="A8" s="32" t="s">
        <v>1443</v>
      </c>
      <c r="B8" s="37">
        <v>39.389031</v>
      </c>
      <c r="C8" s="37">
        <v>-112.814621</v>
      </c>
    </row>
    <row r="9">
      <c r="A9" s="32" t="s">
        <v>1444</v>
      </c>
      <c r="B9" s="37">
        <v>39.189919</v>
      </c>
      <c r="C9" s="37">
        <v>-112.714592</v>
      </c>
    </row>
    <row r="10">
      <c r="A10" s="32" t="s">
        <v>1445</v>
      </c>
      <c r="B10" s="37">
        <v>39.281887</v>
      </c>
      <c r="C10" s="37">
        <v>-113.064835</v>
      </c>
    </row>
    <row r="11">
      <c r="B11" s="37"/>
      <c r="C11" s="37"/>
    </row>
  </sheetData>
  <drawing r:id="rId1"/>
</worksheet>
</file>